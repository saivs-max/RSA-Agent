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efect Log" sheetId="2" state="visible" r:id="rId4"/>
    <sheet name="Verification Notes" sheetId="3" state="visible" r:id="rId5"/>
  </sheets>
  <definedNames>
    <definedName function="false" hidden="true" localSheetId="1" name="_xlnm._FilterDatabase" vbProcedure="false">'Defect Log'!$A$1:$L$53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<sst xmlns="http://schemas.openxmlformats.org/spreadsheetml/2006/main" count="670" uniqueCount="457">
  <si>
    <t xml:space="preserve">RSA Agent — QA Defect Summary</t>
  </si>
  <si>
    <t xml:space="preserve">Severity</t>
  </si>
  <si>
    <t xml:space="preserve">Count</t>
  </si>
  <si>
    <t xml:space="preserve">Remediation</t>
  </si>
  <si>
    <t xml:space="preserve">Critical</t>
  </si>
  <si>
    <t xml:space="preserve">Fixed</t>
  </si>
  <si>
    <t xml:space="preserve">High</t>
  </si>
  <si>
    <t xml:space="preserve">Open</t>
  </si>
  <si>
    <t xml:space="preserve">Medium</t>
  </si>
  <si>
    <t xml:space="preserve">Deferred</t>
  </si>
  <si>
    <t xml:space="preserve">Low</t>
  </si>
  <si>
    <t xml:space="preserve">Withdrawn</t>
  </si>
  <si>
    <t xml:space="preserve">Total</t>
  </si>
  <si>
    <t xml:space="preserve">Won't fix</t>
  </si>
  <si>
    <t xml:space="preserve">Production Readiness Score</t>
  </si>
  <si>
    <t xml:space="preserve">68 / 100  (was 60)</t>
  </si>
  <si>
    <t xml:space="preserve">Launch Recommendation</t>
  </si>
  <si>
    <t xml:space="preserve">Needs Significant Work</t>
  </si>
  <si>
    <t xml:space="preserve">Remediation status (June 23, 2026)</t>
  </si>
  <si>
    <t xml:space="preserve">14 correctness/data/functional defects fixed and re-verified (342/342 offline tests pass; all Python compiles; Apps Script + webapp JS syntax-checked). 1 withdrawn (ZIP-01, false positive), 4 deferred, 1 won't-fix. 32 remain OPEN — led by the 3 Critical security items + concurrency/locking. Launch is now gated almost entirely by Security + Reliability, not correctness. Apps Script (.gs) fixes are syntax/logic-verified but need a deploy-time smoke test (no Apps Script runtime in the test env).</t>
  </si>
  <si>
    <t xml:space="preserve">ID</t>
  </si>
  <si>
    <t xml:space="preserve">Category</t>
  </si>
  <si>
    <t xml:space="preserve">Component</t>
  </si>
  <si>
    <t xml:space="preserve">Location</t>
  </si>
  <si>
    <t xml:space="preserve">Evidence</t>
  </si>
  <si>
    <t xml:space="preserve">Title</t>
  </si>
  <si>
    <t xml:space="preserve">Reproduction</t>
  </si>
  <si>
    <t xml:space="preserve">Expected Behavior</t>
  </si>
  <si>
    <t xml:space="preserve">Actual Behavior</t>
  </si>
  <si>
    <t xml:space="preserve">Recommended Fix</t>
  </si>
  <si>
    <t xml:space="preserve">SEC-01</t>
  </si>
  <si>
    <t xml:space="preserve">Security</t>
  </si>
  <si>
    <t xml:space="preserve">Config</t>
  </si>
  <si>
    <t xml:space="preserve">.env.example:18</t>
  </si>
  <si>
    <t xml:space="preserve">Confirmed</t>
  </si>
  <si>
    <t xml:space="preserve">Real Anthropic API key shipped in the example env template</t>
  </si>
  <si>
    <t xml:space="preserve">Open .env.example (a file meant to be shared/committed); ANTHROPIC_API_KEY default is a full sk-ant-... value, not a placeholder.</t>
  </si>
  <si>
    <t xml:space="preserve">Template contains only a placeholder.</t>
  </si>
  <si>
    <t xml:space="preserve">A live-format secret is embedded in the shareable template.</t>
  </si>
  <si>
    <t xml:space="preserve">Rotate the key immediately; replace with a placeholder; scan history; keep real secrets only in .env (already git-ignored).</t>
  </si>
  <si>
    <t xml:space="preserve">SEC-02</t>
  </si>
  <si>
    <t xml:space="preserve">GAS endpoints / legacy JS</t>
  </si>
  <si>
    <t xml:space="preserve">GAS_BotEndpoints.gs:17; rsa_agent.js:38</t>
  </si>
  <si>
    <t xml:space="preserve">Confirmed (static)</t>
  </si>
  <si>
    <t xml:space="preserve">Public webhook guarded by a hardcoded default shared secret</t>
  </si>
  <si>
    <t xml:space="preserve">doPost auth is `secret !== 'rsa-agent-secret-change-me'`. Same default in rsa_agent.js, and it is NOT in that file's required-env check. README deploys the web app as 'Anyone'.</t>
  </si>
  <si>
    <t xml:space="preserve">Unique strong secret, verified at deploy; fail-closed when equal to the default.</t>
  </si>
  <si>
    <t xml:space="preserve">If the secret was not rotated on the live deployment, anyone who reaches the URL can write the tracker and send emails.</t>
  </si>
  <si>
    <t xml:space="preserve">Rotate; store in Script Property; refuse to serve when equal to the default; prefer a domain-restricted deployment.</t>
  </si>
  <si>
    <t xml:space="preserve">SEC-03</t>
  </si>
  <si>
    <t xml:space="preserve">Webapp (Index.html)</t>
  </si>
  <si>
    <t xml:space="preserve">~1058-1071,1356-1369,1614-1621,1778-1822,863-877</t>
  </si>
  <si>
    <t xml:space="preserve">Stored XSS: unescaped sheet/import data rendered into innerHTML</t>
  </si>
  <si>
    <t xml:space="preserve">Set a Store/Notes/Cart-ID (via Add Cart form, W&amp;M Excel import, or direct sheet edit) to `&lt;img src=x onerror=...&gt;`; open the Tracker/Archive/Dashboard tab.</t>
  </si>
  <si>
    <t xml:space="preserve">All dynamic fields HTML-escaped; links scheme-validated.</t>
  </si>
  <si>
    <t xml:space="preserve">Raw interpolation runs attacker JS in every operator's browser; reportLink href is not https-validated (techResultsLink is — inconsistent).</t>
  </si>
  <si>
    <t xml:space="preserve">Add escapeHtml() + safeUrl() helpers across all renderers (or use textContent/createElement); https-allow-list every link; add rel=noopener.</t>
  </si>
  <si>
    <t xml:space="preserve">BUILD-01</t>
  </si>
  <si>
    <t xml:space="preserve">Bug</t>
  </si>
  <si>
    <t xml:space="preserve">Caper extractor</t>
  </si>
  <si>
    <t xml:space="preserve">caper_pdf_to_csv.py:2-3</t>
  </si>
  <si>
    <t xml:space="preserve">Confirmed (py_compile)</t>
  </si>
  <si>
    <t xml:space="preserve">caper_pdf_to_csv.py does not compile; writes to a foreign path</t>
  </si>
  <si>
    <t xml:space="preserve">python3 caper_pdf_to_csv.py  (or import it).</t>
  </si>
  <si>
    <t xml:space="preserve">Compiles; writes caper_stores.csv to the working dir.</t>
  </si>
  <si>
    <t xml:space="preserve">Line 2 is a quoted-string SyntaxError; `sys` never imported; OUT hardcoded to /sessions/zealous-brave-maxwell/... (another machine).</t>
  </si>
  <si>
    <t xml:space="preserve">Fix line 2 (import sys; unquote the expression); take OUT from env/CWD. The address-join key CSV currently can't be regenerated.</t>
  </si>
  <si>
    <t xml:space="preserve">DATA-01</t>
  </si>
  <si>
    <t xml:space="preserve">Logic</t>
  </si>
  <si>
    <t xml:space="preserve">Reconcile + GAS + agent</t>
  </si>
  <si>
    <t xml:space="preserve">rsa_reconcile.py:50/151/477; GAS_BotEndpoints _botAddCart:246,_botFullOnboardCart:841,844</t>
  </si>
  <si>
    <t xml:space="preserve">Unknown state silently defaulted to NJ (and NJ forced to TRUNO)</t>
  </si>
  <si>
    <t xml:space="preserve">Reconcile/onboard a store whose state can't be inferred.</t>
  </si>
  <si>
    <t xml:space="preserve">Leave blank + flag for review; never guess; apply the NJ-vendor rule everywhere.</t>
  </si>
  <si>
    <t xml:space="preserve">DEFAULT_STATE='NJ'; GAS state||'NJ'; fullOnboard forces vendor TRUNO for NJ — contradicting the interactive 'NJ must choose vendor' rule.</t>
  </si>
  <si>
    <t xml:space="preserve">Use store_map.store_state(confident); write blank+flag when not confident; enforce the NJ-vendor guard in every write path.</t>
  </si>
  <si>
    <t xml:space="preserve">DATA-02</t>
  </si>
  <si>
    <t xml:space="preserve">Store map</t>
  </si>
  <si>
    <t xml:space="preserve">store_map.py ~321 (name pass)</t>
  </si>
  <si>
    <t xml:space="preserve">Confirmed (executed)</t>
  </si>
  <si>
    <t xml:space="preserve">state_from_address returns a CONFIDENTLY wrong state</t>
  </si>
  <si>
    <t xml:space="preserve">Resolve 'Washington, DC' / '100 Indiana St, Chicago IL' / 'Nevada, MO' / 'Delaware, OH' (no ZIP).</t>
  </si>
  <si>
    <t xml:space="preserve">ZIP -&gt; trailing-code -&gt; name precedence; name least-trusted.</t>
  </si>
  <si>
    <t xml:space="preserve">Spelled-out state name in a city OR street beats the trailing code: -&gt;WA, -&gt;IN, -&gt;NV, -&gt;DE, all basis='name'.</t>
  </si>
  <si>
    <t xml:space="preserve">Run ZIP and trailing 2-letter-code passes BEFORE the name pass; require the name near the end / after a comma.</t>
  </si>
  <si>
    <t xml:space="preserve">FUNC-01</t>
  </si>
  <si>
    <t xml:space="preserve">Logic/Bug</t>
  </si>
  <si>
    <t xml:space="preserve">Sheets engine</t>
  </si>
  <si>
    <t xml:space="preserve">rsa_sheets.py:116-136 (_find_row)</t>
  </si>
  <si>
    <t xml:space="preserve">Loose substring cart matching edits/queries the WRONG cart</t>
  </si>
  <si>
    <t xml:space="preserve">Call query_cart('1') / update_cart('1') with no store hint against real data.</t>
  </si>
  <si>
    <t xml:space="preserve">Exact/anchored cart-id match; ambiguity prompts for disambiguation.</t>
  </si>
  <si>
    <t xml:space="preserve">`rid==q or q in rid or rid in q` -&gt; '1' matched P_WF_SHOPRITE_72_M3_001 (first hit). Wrong-cart writes possible.</t>
  </si>
  <si>
    <t xml:space="preserve">Match exact id or anchored serial; never substring-match a bare number; require store/disambiguation on multiple hits.</t>
  </si>
  <si>
    <t xml:space="preserve">FUNC-02</t>
  </si>
  <si>
    <t xml:space="preserve">Drive monitors + sheets engine</t>
  </si>
  <si>
    <t xml:space="preserve">drive_monitor.py _match_file; rsa_sheets._store_nums</t>
  </si>
  <si>
    <t xml:space="preserve">Form attached to the wrong store via numeric-substring filename match</t>
  </si>
  <si>
    <t xml:space="preserve">Store 'ShopRite 50'; a file named 'WF50_2050_report.pdf' in the folder.</t>
  </si>
  <si>
    <t xml:space="preserve">Boundary/chain-qualified match (like the strict tech matcher).</t>
  </si>
  <si>
    <t xml:space="preserve">store nums {50} intersect filename nums {50,2050} -&gt; file matched to ShopRite 50; W&amp;M monitor uses non-strict match and overrides the printed store.</t>
  </si>
  <si>
    <t xml:space="preserve">Use match_cart_strict-style logic; require a chain token; boundary match (#50 / WF50) not substring; don't override a mismatched printed store.</t>
  </si>
  <si>
    <t xml:space="preserve">FUNC-03</t>
  </si>
  <si>
    <t xml:space="preserve">GAS automation</t>
  </si>
  <si>
    <t xml:space="preserve">GAS_Automation.gs:770-772</t>
  </si>
  <si>
    <t xml:space="preserve">Confirmed (grep)</t>
  </si>
  <si>
    <t xml:space="preserve">'Pending' / 'Partial' inspection results recorded as 'Passed W&amp;M'</t>
  </si>
  <si>
    <t xml:space="preserve">Ingest a row whose result text is 'pending' or 'partial'.</t>
  </si>
  <si>
    <t xml:space="preserve">Only explicit pass tokens count; ambiguous -&gt; manual review.</t>
  </si>
  <si>
    <t xml:space="preserve">PASS_KW includes bare 'p'; rawResult.startsWith('p') -&gt; wmPassed=true -&gt; writes 'Passed W&amp;M'.</t>
  </si>
  <si>
    <t xml:space="preserve">Remove bare 'p'; use an anchored explicit token list; ambiguous results never auto-pass.</t>
  </si>
  <si>
    <t xml:space="preserve">FUNC-04</t>
  </si>
  <si>
    <t xml:space="preserve">GAS_Automation.gs:545-551</t>
  </si>
  <si>
    <t xml:space="preserve">CSM nudge re-pings carts that already FAILED W&amp;M</t>
  </si>
  <si>
    <t xml:space="preserve">A cart with rsaStatus 'Completed RSA' and wmStatus 'Failed W&amp;M'; run checkCompletedVisits.</t>
  </si>
  <si>
    <t xml:space="preserve">Exclude any attempted/terminal W&amp;M status.</t>
  </si>
  <si>
    <t xml:space="preserve">Exclusion set is only {Passed W&amp;M, Completed W&amp;M}; 'Failed W&amp;M' keeps matching -&gt; endless 'schedule W&amp;M' alerts to the CSM alias.</t>
  </si>
  <si>
    <t xml:space="preserve">Alert only when wmStatus is empty/'Pending W&amp;M'; exclude Failed/Passed/Completed.</t>
  </si>
  <si>
    <t xml:space="preserve">REL-01</t>
  </si>
  <si>
    <t xml:space="preserve">Reliability</t>
  </si>
  <si>
    <t xml:space="preserve">Sheets engine + GAS + monitors</t>
  </si>
  <si>
    <t xml:space="preserve">_next_row/update_cart; _botAddCart/_botScheduleTruno; monitorTrunoTracker; processed_*.json</t>
  </si>
  <si>
    <t xml:space="preserve">No locking: concurrent writers clobber rows / duplicate side-effects</t>
  </si>
  <si>
    <t xml:space="preserve">Two onboard messages in parallel (Slack Bolt is multi-threaded), or a GAS trigger + Python monitor writing the same row.</t>
  </si>
  <si>
    <t xml:space="preserve">Serialized writes (LockService / lock); atomic processed files; column ownership.</t>
  </si>
  <si>
    <t xml:space="preserve">Read-then-write next-row scans and cross-process writers with no LockService/atomic writes; processed_*.json truncates in place.</t>
  </si>
  <si>
    <t xml:space="preserve">LockService.tryLock in GAS; lock + os.replace for processed files; designate per-column ownership across GAS/Python.</t>
  </si>
  <si>
    <t xml:space="preserve">REL-02</t>
  </si>
  <si>
    <t xml:space="preserve">GAS_Automation.gs:70-82,1121-1130</t>
  </si>
  <si>
    <t xml:space="preserve">Overlapping automation triggers double-run monitors</t>
  </si>
  <si>
    <t xml:space="preserve">monitorTrunoTracker/ingestInspectionFiles fire via their own triggers AND masterDailyRun near 9am.</t>
  </si>
  <si>
    <t xml:space="preserve">Single ownership + lock so a concurrent run is skipped.</t>
  </si>
  <si>
    <t xml:space="preserve">No LockService; Script-Property idempotency read at start of each run -&gt; overlapping runs can double-email/Slack/write.</t>
  </si>
  <si>
    <t xml:space="preserve">Drive each monitor from one path only; wrap bodies in LockService.tryLock(0).</t>
  </si>
  <si>
    <t xml:space="preserve">REL-03</t>
  </si>
  <si>
    <t xml:space="preserve">Reliability/Bug</t>
  </si>
  <si>
    <t xml:space="preserve">GAS_Automation.gs:655-708</t>
  </si>
  <si>
    <t xml:space="preserve">Static (high-confidence)</t>
  </si>
  <si>
    <t xml:space="preserve">Excel ingest broken for true .xlsx; file marked processed on zero rows</t>
  </si>
  <si>
    <t xml:space="preserve">Drop a real binary .xlsx W&amp;M form in the inspection folder; run ingestInspectionFiles.</t>
  </si>
  <si>
    <t xml:space="preserve">Convert xlsx-&gt;Google Sheet then export; mark processed only when rows were imported.</t>
  </si>
  <si>
    <t xml:space="preserve">export?format=csv only works for native Sheets; binary fallback yields garbage; ingested[fileId] set even on zero rows -&gt; never retried; errors only logged.</t>
  </si>
  <si>
    <t xml:space="preserve">Drive.Files.copy to a Sheet then export; gate marking on rows&gt;0; Slack-alert on zero-row ingest.</t>
  </si>
  <si>
    <t xml:space="preserve">SEC-04</t>
  </si>
  <si>
    <t xml:space="preserve">Agent (Slack)</t>
  </si>
  <si>
    <t xml:space="preserve">rsa_agent.py:956-971</t>
  </si>
  <si>
    <t xml:space="preserve">No authorization allowlist on the bot</t>
  </si>
  <si>
    <t xml:space="preserve">Any workspace member DMs or @mentions the bot with an onboard/update command.</t>
  </si>
  <si>
    <t xml:space="preserve">Allowlist of authorized users/channels checked before acting.</t>
  </si>
  <si>
    <t xml:space="preserve">user_id is captured only for the display name; any member (incl. guests in shared channels) can write prod and trigger emails to Nicole.</t>
  </si>
  <si>
    <t xml:space="preserve">Env-configured user/channel allowlist enforced before handle_message.</t>
  </si>
  <si>
    <t xml:space="preserve">VIS-01</t>
  </si>
  <si>
    <t xml:space="preserve">GAS tracker view</t>
  </si>
  <si>
    <t xml:space="preserve">Code_getTrackerData.gs:65-73</t>
  </si>
  <si>
    <t xml:space="preserve">Dashboard hides active-but-aging W&amp;M carts after 30 days</t>
  </si>
  <si>
    <t xml:space="preserve">A cart 'Completed RSA' + 'Pending W&amp;M' whose RSA completed &gt;30 days ago.</t>
  </si>
  <si>
    <t xml:space="preserve">Hide only when overallStatus === 'Passed' (truly done).</t>
  </si>
  <si>
    <t xml:space="preserve">isPassed = Passed OR rsaStatus=='Completed RSA' OR wmStatus=='Passed W&amp;M'; such carts are dropped though W&amp;M is still open.</t>
  </si>
  <si>
    <t xml:space="preserve">Treat as hideable only on true completion; keep anything with an open W&amp;M visible.</t>
  </si>
  <si>
    <t xml:space="preserve">ADDR-01</t>
  </si>
  <si>
    <t xml:space="preserve">store_map.py:61-76 (addr_key)</t>
  </si>
  <si>
    <t xml:space="preserve">Static</t>
  </si>
  <si>
    <t xml:space="preserve">addr_key collides distinct tenants sharing street#+ZIP</t>
  </si>
  <si>
    <t xml:space="preserve">Two stores at the same plaza address/ZIP.</t>
  </si>
  <si>
    <t xml:space="preserve">Incorporate suite/unit, or fall through to full-string compare.</t>
  </si>
  <si>
    <t xml:space="preserve">house|zip key collapses different stores -&gt; wrong Caper&lt;-&gt;Truno join (the failure the join was meant to prevent).</t>
  </si>
  <si>
    <t xml:space="preserve">Suite-aware key; full-string fallback when a house|zip cluster has &gt;1 row.</t>
  </si>
  <si>
    <t xml:space="preserve">ARCH-01</t>
  </si>
  <si>
    <t xml:space="preserve">Performance/Reliability</t>
  </si>
  <si>
    <t xml:space="preserve">GAS_Automation.gs:872</t>
  </si>
  <si>
    <t xml:space="preserve">Ingest creates an unbounded new tab per file</t>
  </si>
  <si>
    <t xml:space="preserve">Let ingestInspectionFiles run 4-hourly for months.</t>
  </si>
  <si>
    <t xml:space="preserve">Rotate/cap archive tabs or use a rolling log.</t>
  </si>
  <si>
    <t xml:space="preserve">insertSheet per file with no pruning -&gt; eventual cell/tab cap and insertSheet failures.</t>
  </si>
  <si>
    <t xml:space="preserve">Keep last N tabs or append to one Ingest Log sheet.</t>
  </si>
  <si>
    <t xml:space="preserve">AUDIT-01</t>
  </si>
  <si>
    <t xml:space="preserve">Store map / verify</t>
  </si>
  <si>
    <t xml:space="preserve">store_map.build:225; verify_addr.py</t>
  </si>
  <si>
    <t xml:space="preserve">verify_addr disagrees with reconcile (number fallback)</t>
  </si>
  <si>
    <t xml:space="preserve">Run verify_addr vs trace_truno for the same store.</t>
  </si>
  <si>
    <t xml:space="preserve">Pre-flight matches what reconcile will actually do.</t>
  </si>
  <si>
    <t xml:space="preserve">verify uses the number fallback reconcile abandoned, overstating clean matches.</t>
  </si>
  <si>
    <t xml:space="preserve">Drive verify off a reconcile dry-run.</t>
  </si>
  <si>
    <t xml:space="preserve">COL-01</t>
  </si>
  <si>
    <t xml:space="preserve">Logic/UX</t>
  </si>
  <si>
    <t xml:space="preserve">rsa_sheets.py:452,75</t>
  </si>
  <si>
    <t xml:space="preserve">W&amp;M report link written into the 'Tech Upload Link' column</t>
  </si>
  <si>
    <t xml:space="preserve">Apply a W&amp;M test result with a report link.</t>
  </si>
  <si>
    <t xml:space="preserve">Distinct, clearly named link columns.</t>
  </si>
  <si>
    <t xml:space="preserve">set_test_result writes the report link to C_TECH_LINK (col T, labeled 'Tech Upload Link'), conflating it with the tech link in col W.</t>
  </si>
  <si>
    <t xml:space="preserve">Clarify the column purpose/name; separate W&amp;M and tech links.</t>
  </si>
  <si>
    <t xml:space="preserve">COL-02</t>
  </si>
  <si>
    <t xml:space="preserve">rsa_sheets.py:543,563,505</t>
  </si>
  <si>
    <t xml:space="preserve">Gap counters read a default column if header not yet resolved</t>
  </si>
  <si>
    <t xml:space="preserve">Call carts_missing_results()/results_completeness() before ensure_tech_results_columns().</t>
  </si>
  <si>
    <t xml:space="preserve">Resolve the Tech Results header before counting.</t>
  </si>
  <si>
    <t xml:space="preserve">_tech_cols() falls back to V/W; if Tech Results was appended at another column, counts read the wrong column.</t>
  </si>
  <si>
    <t xml:space="preserve">Resolve/ensure the header before reading the gap counts.</t>
  </si>
  <si>
    <t xml:space="preserve">DAYS-01</t>
  </si>
  <si>
    <t xml:space="preserve">GAS_Automation.gs:560,564-565</t>
  </si>
  <si>
    <t xml:space="preserve">CSM alert shows column-P raw value as the 'days' count</t>
  </si>
  <si>
    <t xml:space="preserve">Trigger a CSM nudge and read the '(Nd)' figure.</t>
  </si>
  <si>
    <t xml:space="preserve">Show the computed days-pending.</t>
  </si>
  <si>
    <t xml:space="preserve">Pushes r[15] (col P) instead of the computed daysSince -&gt; '(Nd)'/'NaNd in status'.</t>
  </si>
  <si>
    <t xml:space="preserve">Carry the computed daysSince into the alert payload.</t>
  </si>
  <si>
    <t xml:space="preserve">DEL-01</t>
  </si>
  <si>
    <t xml:space="preserve">Reliability/Security</t>
  </si>
  <si>
    <t xml:space="preserve">Webapp + GAS automation</t>
  </si>
  <si>
    <t xml:space="preserve">Index.html deleteCartRecord; GAS_Automation.gs:1007</t>
  </si>
  <si>
    <t xml:space="preserve">Hard delete with weak audit and no soft-delete</t>
  </si>
  <si>
    <t xml:space="preserve">Click Delete in the edit modal.</t>
  </si>
  <si>
    <t xml:space="preserve">Soft-delete (Archive) + authz + real audit.</t>
  </si>
  <si>
    <t xml:space="preserve">deleteRow keyed by exact cartId; only a Logger line; anonymous if the web app is 'Anyone'.</t>
  </si>
  <si>
    <t xml:space="preserve">Move deletes to an Archive sheet; add authz + an audit record.</t>
  </si>
  <si>
    <t xml:space="preserve">DUP-01</t>
  </si>
  <si>
    <t xml:space="preserve">GAS endpoints + automation</t>
  </si>
  <si>
    <t xml:space="preserve">_botScheduleTruno:654; emailNicoleForNewTrunoRows</t>
  </si>
  <si>
    <t xml:space="preserve">Two email-to-Nicole paths can double-send</t>
  </si>
  <si>
    <t xml:space="preserve">Anything that calls doPost scheduletruno/fullonboard while the 15-min email trigger is also enabled.</t>
  </si>
  <si>
    <t xml:space="preserve">One canonical email path with a sent-flag guard.</t>
  </si>
  <si>
    <t xml:space="preserve">Python path relies on the trigger to email; the GAS endpoint also emails directly -&gt; potential duplicate vendor emails.</t>
  </si>
  <si>
    <t xml:space="preserve">Pick one path; guard with a 'Nicole emailed' flag column.</t>
  </si>
  <si>
    <t xml:space="preserve">ENC-01</t>
  </si>
  <si>
    <t xml:space="preserve">GAS_Automation.gs:676,760-781,862</t>
  </si>
  <si>
    <t xml:space="preserve">CSV ingest UTF-8 only; ambiguous locale date parsing</t>
  </si>
  <si>
    <t xml:space="preserve">Ingest a Windows-1252 CSV, or a dd/MM date.</t>
  </si>
  <si>
    <t xml:space="preserve">Charset detection; parse to real Date objects.</t>
  </si>
  <si>
    <t xml:space="preserve">Latin-1 mojibake; MM/dd vs dd/MM ambiguity; string dates break checkCompletedVisits (expects Date) so those rows never alert.</t>
  </si>
  <si>
    <t xml:space="preserve">Detect charset; use Utilities.parseDate; store real Dates.</t>
  </si>
  <si>
    <t xml:space="preserve">IDEMP-01</t>
  </si>
  <si>
    <t xml:space="preserve">Logic/Idempotency</t>
  </si>
  <si>
    <t xml:space="preserve">Reconcile</t>
  </si>
  <si>
    <t xml:space="preserve">rsa_reconcile.py:316-326,413,461</t>
  </si>
  <si>
    <t xml:space="preserve">Reconcile can create duplicate carts for one store+cart</t>
  </si>
  <si>
    <t xml:space="preserve">Two Truno rows for one store that resolve to slightly different store names across runs.</t>
  </si>
  <si>
    <t xml:space="preserve">Derive the serial from a stable store#+chain and existence-test it.</t>
  </si>
  <si>
    <t xml:space="preserve">Existence check uses many identifiers, but the net-new serial is derived from a single chosen display name -&gt; mismatched serials evade the dedup.</t>
  </si>
  <si>
    <t xml:space="preserve">Key the serial off store number+chain; test the derived serial before adding.</t>
  </si>
  <si>
    <t xml:space="preserve">IDEMP-02</t>
  </si>
  <si>
    <t xml:space="preserve">GAS_Automation.gs:133-135</t>
  </si>
  <si>
    <t xml:space="preserve">Truno reschedule replays the same key -&gt; ETS reminder skipped</t>
  </si>
  <si>
    <t xml:space="preserve">Schedule -&gt; cancel -&gt; re-schedule a visit to a new date.</t>
  </si>
  <si>
    <t xml:space="preserve">Key includes date/version; cancel clears the scheduled key.</t>
  </si>
  <si>
    <t xml:space="preserve">rowSig = store|cart|status has no date; the re-schedule reuses the key and is skipped, so the ETS Coffee-Break reminder for the real date never posts.</t>
  </si>
  <si>
    <t xml:space="preserve">Version the idempotency key with the visit date.</t>
  </si>
  <si>
    <t xml:space="preserve">MARK-01</t>
  </si>
  <si>
    <t xml:space="preserve">Drive monitor</t>
  </si>
  <si>
    <t xml:space="preserve">drive_monitor.py:184-187</t>
  </si>
  <si>
    <t xml:space="preserve">'Missing form' warning fires once ever and never re-warns</t>
  </si>
  <si>
    <t xml:space="preserve">A forms-sent store with no matching file across many days.</t>
  </si>
  <si>
    <t xml:space="preserve">Re-warn after N days.</t>
  </si>
  <si>
    <t xml:space="preserve">A 'missing:'+slug marker is stored in the processed set forever; a still-missing form is never re-flagged.</t>
  </si>
  <si>
    <t xml:space="preserve">Track missing-store warnings with a timestamp and re-warn after a threshold.</t>
  </si>
  <si>
    <t xml:space="preserve">PERF-01</t>
  </si>
  <si>
    <t xml:space="preserve">Performance</t>
  </si>
  <si>
    <t xml:space="preserve">GAS_Automation.gs:106,204-205</t>
  </si>
  <si>
    <t xml:space="preserve">monitorTrunoTracker does O(Truno x Tracker) full-allocation scans</t>
  </si>
  <si>
    <t xml:space="preserve">Run with a large Truno sheet and default 1000-row allocation.</t>
  </si>
  <si>
    <t xml:space="preserve">getLastRow bound; read the tracker once per run.</t>
  </si>
  <si>
    <t xml:space="preserve">Uses getMaxRows() and re-reads the tracker per Truno row -&gt; thousands of getValues, near the 6-min limit.</t>
  </si>
  <si>
    <t xml:space="preserve">Use getLastRow(); hoist the tracker read out of the per-row matcher.</t>
  </si>
  <si>
    <t xml:space="preserve">PERF-02</t>
  </si>
  <si>
    <t xml:space="preserve">Store map / reconcile</t>
  </si>
  <si>
    <t xml:space="preserve">store_map.resolve:115</t>
  </si>
  <si>
    <t xml:space="preserve">Overrides JSON parsed on every row during reconcile</t>
  </si>
  <si>
    <t xml:space="preserve">Reconcile a large Truno sheet.</t>
  </si>
  <si>
    <t xml:space="preserve">Load overrides once.</t>
  </si>
  <si>
    <t xml:space="preserve">_overrides()/_state_overrides() open+parse store_map.json per cart -&gt; many file reads; widens the unlocked-write race.</t>
  </si>
  <si>
    <t xml:space="preserve">Memoize overrides (mtime-checked) or pass them in.</t>
  </si>
  <si>
    <t xml:space="preserve">REL-04</t>
  </si>
  <si>
    <t xml:space="preserve">Drive/Tech monitors</t>
  </si>
  <si>
    <t xml:space="preserve">drive_monitor.py:63-76; tech_monitor.py:60-73</t>
  </si>
  <si>
    <t xml:space="preserve">processed_*.json read-modify-write is non-atomic and unlocked</t>
  </si>
  <si>
    <t xml:space="preserve">Run a --backfill while the background poller is running, or crash mid-write.</t>
  </si>
  <si>
    <t xml:space="preserve">Atomic temp+os.replace; single-writer lock.</t>
  </si>
  <si>
    <t xml:space="preserve">open(...,'w') truncates in place; crash -&gt; empty set -&gt; reprocess everything; concurrent runs clobber.</t>
  </si>
  <si>
    <t xml:space="preserve">Atomic write + lock; or have the CLI talk to the running poller.</t>
  </si>
  <si>
    <t xml:space="preserve">REL-05</t>
  </si>
  <si>
    <t xml:space="preserve">Sheets/Drive/JS network</t>
  </si>
  <si>
    <t xml:space="preserve">gspread calls; drive get_media; rsa_agent.js fetch</t>
  </si>
  <si>
    <t xml:space="preserve">No timeouts/retries/backoff on Sheets/Drive/GAS calls</t>
  </si>
  <si>
    <t xml:space="preserve">Transient 5xx/timeout during a write or backfill.</t>
  </si>
  <si>
    <t xml:space="preserve">Retries with backoff + timeouts; partial-write handling.</t>
  </si>
  <si>
    <t xml:space="preserve">A blip aborts a run or hangs (stuck Slack hourglass); batched writes can leave the sheet half-updated.</t>
  </si>
  <si>
    <t xml:space="preserve">Add num_retries/timeout/backoff; document or eliminate partial-write windows.</t>
  </si>
  <si>
    <t xml:space="preserve">ROUTE-01</t>
  </si>
  <si>
    <t xml:space="preserve">Agent</t>
  </si>
  <si>
    <t xml:space="preserve">rsa_agent.py:868-880</t>
  </si>
  <si>
    <t xml:space="preserve">W&amp;M form saved as .xlsx is misrouted to the tech/calibration path</t>
  </si>
  <si>
    <t xml:space="preserve">Upload 'Shoprite_scale_test.xlsx' with caption 'results attached' (no keyword).</t>
  </si>
  <si>
    <t xml:space="preserve">Route by content, or warn on ambiguity.</t>
  </si>
  <si>
    <t xml:space="preserve">Extension rule sends any spreadsheet to tech; W&amp;M pass/fail processed as calibration. (An explicit 'w&amp;m' caption correctly overrides.)</t>
  </si>
  <si>
    <t xml:space="preserve">Detect by content/headers; warn on ambiguous; document the precedence.</t>
  </si>
  <si>
    <t xml:space="preserve">SEC-05</t>
  </si>
  <si>
    <t xml:space="preserve">Index.html:1421-1432; GAS_Automation.gs:788-790</t>
  </si>
  <si>
    <t xml:space="preserve">CSV/formula injection on export and GAS HYPERLINK</t>
  </si>
  <si>
    <t xml:space="preserve">Set Notes to '=HYPERLINK("http://evil","x")' or '=IMPORTRANGE(...)'; export CSV / let ingest build the link.</t>
  </si>
  <si>
    <t xml:space="preserve">Neutralize leading = + - @; escape quotes or use RichText links.</t>
  </si>
  <si>
    <t xml:space="preserve">Export only quotes commas/quotes; filenames are interpolated into setFormula unescaped.</t>
  </si>
  <si>
    <t xml:space="preserve">Prefix-guard CSV fields; escape quotes / use newRichTextValue().setLinkUrl().</t>
  </si>
  <si>
    <t xml:space="preserve">SEC-06</t>
  </si>
  <si>
    <t xml:space="preserve">GAS endpoints</t>
  </si>
  <si>
    <t xml:space="preserve">_buildTrunoEmail/_buildWinterScalesEmail (~1010,1119)</t>
  </si>
  <si>
    <t xml:space="preserve">HTML injection into outbound vendor emails</t>
  </si>
  <si>
    <t xml:space="preserve">Include HTML/script in a cart note or store name on an onboard.</t>
  </si>
  <si>
    <t xml:space="preserve">Escape user-controlled fields before embedding in htmlBody.</t>
  </si>
  <si>
    <t xml:space="preserve">store/notes/address/submittedBy interpolated raw into the email HTML body.</t>
  </si>
  <si>
    <t xml:space="preserve">HTML-escape all interpolated values.</t>
  </si>
  <si>
    <t xml:space="preserve">STATE-DUP</t>
  </si>
  <si>
    <t xml:space="preserve">Reconcile vs store map</t>
  </si>
  <si>
    <t xml:space="preserve">rsa_reconcile._state_from_addr vs store_map.state_from_address</t>
  </si>
  <si>
    <t xml:space="preserve">Two divergent state-from-address parsers</t>
  </si>
  <si>
    <t xml:space="preserve">Same address through reconcile vs the agent.</t>
  </si>
  <si>
    <t xml:space="preserve">One shared, conservative parser.</t>
  </si>
  <si>
    <t xml:space="preserve">Reconcile uses its own looser last-2-letter-token scan; the two implementations disagree.</t>
  </si>
  <si>
    <t xml:space="preserve">Call store_map.state_from_address from reconcile; delete the duplicate.</t>
  </si>
  <si>
    <t xml:space="preserve">UNDO-01</t>
  </si>
  <si>
    <t xml:space="preserve">Undo tool</t>
  </si>
  <si>
    <t xml:space="preserve">rsa_undo.py:55,61-68</t>
  </si>
  <si>
    <t xml:space="preserve">Undo deletes on a fragile Notes prefix with no backup</t>
  </si>
  <si>
    <t xml:space="preserve">Run rsa_undo --commit after a human edited a backfilled row's Notes.</t>
  </si>
  <si>
    <t xml:space="preserve">Match a machine-only marker; snapshot before delete.</t>
  </si>
  <si>
    <t xml:space="preserve">Sole criterion is Notes.startswith(tag); over/under-deletes; no backup beyond stdout.</t>
  </si>
  <si>
    <t xml:space="preserve">Use a dedicated marker column; export matched rows to CSV before deleting.</t>
  </si>
  <si>
    <t xml:space="preserve">UX-01</t>
  </si>
  <si>
    <t xml:space="preserve">UX/Reliability</t>
  </si>
  <si>
    <t xml:space="preserve">rsa_agent.py:771-802</t>
  </si>
  <si>
    <t xml:space="preserve">No confirmation before a write+schedule+email onboard</t>
  </si>
  <si>
    <t xml:space="preserve">Send 'launch cart 5 at WF 9 PA, trigger Launches' (non-NJ, trigger stated).</t>
  </si>
  <si>
    <t xml:space="preserve">A confirm step before irreversible side effects.</t>
  </si>
  <si>
    <t xml:space="preserve">Onboards immediately: writes tracker + Truno row + (15-min trigger) emails Nicole. One LLM misclassification triggers all of it.</t>
  </si>
  <si>
    <t xml:space="preserve">Add a Block Kit confirm button for onboardCart before writing/emailing.</t>
  </si>
  <si>
    <t xml:space="preserve">UX-02</t>
  </si>
  <si>
    <t xml:space="preserve">UX/Feature gap</t>
  </si>
  <si>
    <t xml:space="preserve">Webapp</t>
  </si>
  <si>
    <t xml:space="preserve">Index.html:563,571 vs 2019</t>
  </si>
  <si>
    <t xml:space="preserve">Add Cart form silently drops 'Overall Status' and 'DRI'</t>
  </si>
  <si>
    <t xml:space="preserve">Set Overall Status + DRI on the Add Cart form; submit.</t>
  </si>
  <si>
    <t xml:space="preserve">Values persist or the fields are removed.</t>
  </si>
  <si>
    <t xml:space="preserve">The addCartManual payload omits overallStatus and dri; the values are discarded.</t>
  </si>
  <si>
    <t xml:space="preserve">Include both in the payload, or remove the fields.</t>
  </si>
  <si>
    <t xml:space="preserve">ZIP-01</t>
  </si>
  <si>
    <t xml:space="preserve">Logic/Data</t>
  </si>
  <si>
    <t xml:space="preserve">store_map.py _ZIP3_RANGES</t>
  </si>
  <si>
    <t xml:space="preserve">state_from_zip missing several assigned ZIP prefixes</t>
  </si>
  <si>
    <t xml:space="preserve">Resolve 42801(KY), 26901(WV), 57801(SD), 58901(ND), 69401(NE), 84801/84901(AZ).</t>
  </si>
  <si>
    <t xml:space="preserve">Full prefix coverage.</t>
  </si>
  <si>
    <t xml:space="preserve">All return None (fail-safe), forcing an unnecessary 'what state?' prompt for valid ZIPs.</t>
  </si>
  <si>
    <t xml:space="preserve">Extend the ranges or use a ZIP dataset library.</t>
  </si>
  <si>
    <t xml:space="preserve">A11Y-01</t>
  </si>
  <si>
    <t xml:space="preserve">Accessibility</t>
  </si>
  <si>
    <t xml:space="preserve">Index.html nav/modal/rows</t>
  </si>
  <si>
    <t xml:space="preserve">Keyboard/screen-reader gaps</t>
  </si>
  <si>
    <t xml:space="preserve">Navigate the app with keyboard only / a screen reader.</t>
  </si>
  <si>
    <t xml:space="preserve">WCAG-compliant controls.</t>
  </si>
  <si>
    <t xml:space="preserve">divs/spans with onclick (no role/tabindex/keydown); modal lacks focus trap, Esc, aria-modal; icon-only buttons unlabeled.</t>
  </si>
  <si>
    <t xml:space="preserve">Use buttons/anchors; add roles/tabindex/keydown; modal focus trap + Esc + aria; aria-labels.</t>
  </si>
  <si>
    <t xml:space="preserve">DATE-JS-01</t>
  </si>
  <si>
    <t xml:space="preserve">Code_getTrackerData.gs:49-54</t>
  </si>
  <si>
    <t xml:space="preserve">Locale-ambiguous date parsing in asDate</t>
  </si>
  <si>
    <t xml:space="preserve">A cart date in an ambiguous MM/dd vs dd/MM form.</t>
  </si>
  <si>
    <t xml:space="preserve">Explicit Utilities.parseDate format.</t>
  </si>
  <si>
    <t xml:space="preserve">new Date(v) on arbitrary strings; the 30-day completion window can be off by months.</t>
  </si>
  <si>
    <t xml:space="preserve">Parse with an explicit format given the known sheet format.</t>
  </si>
  <si>
    <t xml:space="preserve">DOC-01</t>
  </si>
  <si>
    <t xml:space="preserve">Documentation</t>
  </si>
  <si>
    <t xml:space="preserve">Tests / config</t>
  </si>
  <si>
    <t xml:space="preserve">tests/README.md; .env.example:21 vs rsa_agent.py:48</t>
  </si>
  <si>
    <t xml:space="preserve">Docs drift: stale test counts and model default mismatch</t>
  </si>
  <si>
    <t xml:space="preserve">Compare documented vs actual.</t>
  </si>
  <si>
    <t xml:space="preserve">Docs match reality.</t>
  </si>
  <si>
    <t xml:space="preserve">Docs say 81/63 passing; actual is 179/91. .env.example default model is sonnet-4-6; code default is opus-4-8.</t>
  </si>
  <si>
    <t xml:space="preserve">Update the counts and reconcile the model default.</t>
  </si>
  <si>
    <t xml:space="preserve">ETS-01</t>
  </si>
  <si>
    <t xml:space="preserve">UX</t>
  </si>
  <si>
    <t xml:space="preserve">GAS_Automation.gs:31,61,399</t>
  </si>
  <si>
    <t xml:space="preserve">ETS reminders post to the W&amp;M channel/usergroup (placeholders)</t>
  </si>
  <si>
    <t xml:space="preserve">Trigger an ETS Coffee-Break reminder.</t>
  </si>
  <si>
    <t xml:space="preserve">Dedicated ETS channel + usergroup.</t>
  </si>
  <si>
    <t xml:space="preserve">ETS_SLACK_CHANNEL_ID aliases the W&amp;M channel and tags the W&amp;M usergroup.</t>
  </si>
  <si>
    <t xml:space="preserve">Configure real ETS channel/usergroup before launch.</t>
  </si>
  <si>
    <t xml:space="preserve">GW-01</t>
  </si>
  <si>
    <t xml:space="preserve">Agent / tech forms</t>
  </si>
  <si>
    <t xml:space="preserve">rsa_agent.py:47; tech_forms.py:39</t>
  </si>
  <si>
    <t xml:space="preserve">Credential-like default + hardcoded internal gateway URL</t>
  </si>
  <si>
    <t xml:space="preserve">Run without AIGATEWAY_API_KEY.</t>
  </si>
  <si>
    <t xml:space="preserve">Empty default; fail loudly if auth ever required.</t>
  </si>
  <si>
    <t xml:space="preserve">Default 'gateway-no-token-needed'; internal aigateway.instacart.tools URL hardcoded (auth is by network today).</t>
  </si>
  <si>
    <t xml:space="preserve">Default empty; keep internal URLs in env.</t>
  </si>
  <si>
    <t xml:space="preserve">LEGACY-01</t>
  </si>
  <si>
    <t xml:space="preserve">Legacy JS bot</t>
  </si>
  <si>
    <t xml:space="preserve">rsa_agent.js (whole)</t>
  </si>
  <si>
    <t xml:space="preserve">Dead/legacy Slack bot retained alongside the active Python agent</t>
  </si>
  <si>
    <t xml:space="preserve">Inspect rsa_agent.js vs rsa_agent.py.</t>
  </si>
  <si>
    <t xml:space="preserve">Remove or clearly quarantine superseded code.</t>
  </si>
  <si>
    <t xml:space="preserve">rsa_agent.js is the old GAS-webhook architecture (hardcoded secret default, parseIntent throws on non-JSON, frozen system-prompt date); superseded by rsa_agent.py.</t>
  </si>
  <si>
    <t xml:space="preserve">Delete it or move to /legacy with a README note; ensure it can't be run by mistake.</t>
  </si>
  <si>
    <t xml:space="preserve">NOOPENER-01</t>
  </si>
  <si>
    <t xml:space="preserve">Index.html target=_blank anchors</t>
  </si>
  <si>
    <t xml:space="preserve">target=_blank links lack rel=noopener</t>
  </si>
  <si>
    <t xml:space="preserve">Open any external link from the app.</t>
  </si>
  <si>
    <t xml:space="preserve">rel=noopener noreferrer on all _blank links.</t>
  </si>
  <si>
    <t xml:space="preserve">Reverse tabnabbing; compounded by the unvalidated reportLink href.</t>
  </si>
  <si>
    <t xml:space="preserve">Add rel=noopener noreferrer everywhere.</t>
  </si>
  <si>
    <t xml:space="preserve">NULLGUARD-01</t>
  </si>
  <si>
    <t xml:space="preserve">Index.html 1393-1396,1978-1980,1870-1873,1590-1597</t>
  </si>
  <si>
    <t xml:space="preserve">Success handlers lack null guards (NPE on null/blank data)</t>
  </si>
  <si>
    <t xml:space="preserve">Server returns null, or a dashboard row has a blank status.</t>
  </si>
  <si>
    <t xml:space="preserve">if(!res||res.error) guards; (r.x||'') everywhere.</t>
  </si>
  <si>
    <t xml:space="preserve">Archive/AddCart/processWM handlers and buildStats deref without guards -&gt; uncaught errors, button left stuck, dashboard breaks on one blank cell.</t>
  </si>
  <si>
    <t xml:space="preserve">Add uniform null guards; use (r.field||'').</t>
  </si>
  <si>
    <t xml:space="preserve">RESP-01</t>
  </si>
  <si>
    <t xml:space="preserve">Index.html styles (no @media)</t>
  </si>
  <si>
    <t xml:space="preserve">No responsive layout despite a mobile viewport tag</t>
  </si>
  <si>
    <t xml:space="preserve">Open the app on a phone/narrow window.</t>
  </si>
  <si>
    <t xml:space="preserve">Responsive breakpoints.</t>
  </si>
  <si>
    <t xml:space="preserve">Fixed 220px sidebar + hard 5/3/2-column grids overflow on small screens.</t>
  </si>
  <si>
    <t xml:space="preserve">Add @media breakpoints; collapse sidebar; auto-fit grids.</t>
  </si>
  <si>
    <t xml:space="preserve">ROB-01</t>
  </si>
  <si>
    <t xml:space="preserve">store_map.py:106-107,334-341</t>
  </si>
  <si>
    <t xml:space="preserve">Bare excepts silently treat a corrupt overrides file as empty</t>
  </si>
  <si>
    <t xml:space="preserve">Corrupt store_map.json, then resolve a store.</t>
  </si>
  <si>
    <t xml:space="preserve">Distinguish missing vs corrupt; warn on JSONDecodeError.</t>
  </si>
  <si>
    <t xml:space="preserve">except Exception: return {} -&gt; all manual mappings silently discarded.</t>
  </si>
  <si>
    <t xml:space="preserve">Catch FileNotFoundError separately; log on parse errors.</t>
  </si>
  <si>
    <t xml:space="preserve">UX-03</t>
  </si>
  <si>
    <t xml:space="preserve">Index.html alert()/confirm()</t>
  </si>
  <si>
    <t xml:space="preserve">Inconsistent feedback model (native dialogs vs inline alerts)</t>
  </si>
  <si>
    <t xml:space="preserve">Run archive / delete / empty-CSV flows.</t>
  </si>
  <si>
    <t xml:space="preserve">One consistent inline-alert pattern.</t>
  </si>
  <si>
    <t xml:space="preserve">Mix of blocking native dialogs and inline alerts; native dialogs can overflow.</t>
  </si>
  <si>
    <t xml:space="preserve">Standardize on the inline alert components already present.</t>
  </si>
  <si>
    <t xml:space="preserve">VENDOR-01</t>
  </si>
  <si>
    <t xml:space="preserve">rsa_sheets.py:580-594 (_norm_vendor)</t>
  </si>
  <si>
    <t xml:space="preserve">Unknown vendor text stored verbatim</t>
  </si>
  <si>
    <t xml:space="preserve">Pass rsaVendor='Acme Scales Inc'.</t>
  </si>
  <si>
    <t xml:space="preserve">Map to a known vendor or TBD; flag unknown.</t>
  </si>
  <si>
    <t xml:space="preserve">_norm_vendor returns unrecognized input unchanged -&gt; arbitrary text in the vendor column.</t>
  </si>
  <si>
    <t xml:space="preserve">Whitelist vendors; unknown -&gt; TBD + flag.</t>
  </si>
  <si>
    <t xml:space="preserve">VIS-02</t>
  </si>
  <si>
    <t xml:space="preserve">Tech/test forms</t>
  </si>
  <si>
    <t xml:space="preserve">tech_forms.py:261-265</t>
  </si>
  <si>
    <t xml:space="preserve">Fragile vision-JSON de-fencing with no retry</t>
  </si>
  <si>
    <t xml:space="preserve">Model returns prose around the JSON or a trailing comma.</t>
  </si>
  <si>
    <t xml:space="preserve">Brace-scan extraction / structured output / one retry.</t>
  </si>
  <si>
    <t xml:space="preserve">json.loads after 3 regexes; failure drops the whole form (self-heal then retries forever).</t>
  </si>
  <si>
    <t xml:space="preserve">Extract the first balanced object; request JSON mode; retry once.</t>
  </si>
  <si>
    <t xml:space="preserve">Claim</t>
  </si>
  <si>
    <t xml:space="preserve">Verdict</t>
  </si>
  <si>
    <t xml:space="preserve">CSM 'passed' key absent (subagent claim)</t>
  </si>
  <si>
    <t xml:space="preserve">REFUTED</t>
  </si>
  <si>
    <t xml:space="preserve">test_forms.py emits 'passed' (lines 142/146) and drive_monitor._fmt consumes it (217); the Passed-&gt;Pending W&amp;M (cc CSM) line works on both paths.</t>
  </si>
  <si>
    <t xml:space="preserve">rsa_agent.py JSON parse crash (by analogy to rsa_agent.js)</t>
  </si>
  <si>
    <t xml:space="preserve">_extract_json has a balanced-brace fallback and parse_intent never raises; verified across 8 adversarial inputs.</t>
  </si>
  <si>
    <t xml:space="preserve">ZIP gaps at 420/268/574/588/688/850 (adjacent prefixes)</t>
  </si>
  <si>
    <t xml:space="preserve">CORRECTED</t>
  </si>
  <si>
    <t xml:space="preserve">Those resolve correctly; the real gaps are 428/269/578/589/694/848/849 (see ZIP-01).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</si>
</sst>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B45309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B0B0"/>
        <bgColor rgb="FFFFC7CE"/>
      </patternFill>
    </fill>
    <fill>
      <patternFill patternType="solid">
        <fgColor rgb="FFC6EFCE"/>
        <bgColor rgb="FFD9EAD3"/>
      </patternFill>
    </fill>
    <fill>
      <patternFill patternType="solid">
        <fgColor rgb="FFF9CB9C"/>
        <bgColor rgb="FFFFC7CE"/>
      </patternFill>
    </fill>
    <fill>
      <patternFill patternType="solid">
        <fgColor rgb="FFFFC7CE"/>
        <bgColor rgb="FFF9CB9C"/>
      </patternFill>
    </fill>
    <fill>
      <patternFill patternType="solid">
        <fgColor rgb="FFFFE599"/>
        <bgColor rgb="FFFFEB9C"/>
      </patternFill>
    </fill>
    <fill>
      <patternFill patternType="solid">
        <fgColor rgb="FFFFEB9C"/>
        <bgColor rgb="FFFFE599"/>
      </patternFill>
    </fill>
    <fill>
      <patternFill patternType="solid">
        <fgColor rgb="FFD9EAD3"/>
        <bgColor rgb="FFC6EFCE"/>
      </patternFill>
    </fill>
    <fill>
      <patternFill patternType="solid">
        <fgColor rgb="FFD9D9D9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B0B0"/>
          <bgColor rgb="FF000000"/>
        </patternFill>
      </fill>
    </dxf>
    <dxf>
      <fill>
        <patternFill patternType="solid">
          <fgColor rgb="FFF9CB9C"/>
          <bgColor rgb="FF000000"/>
        </patternFill>
      </fill>
    </dxf>
    <dxf>
      <fill>
        <patternFill patternType="solid">
          <fgColor rgb="FFFFE59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E599"/>
      <rgbColor rgb="FFD9EAD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0B0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6" min="3" style="1" width="16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D3" s="4" t="s">
        <v>3</v>
      </c>
      <c r="E3" s="4" t="s">
        <v>2</v>
      </c>
    </row>
    <row r="4" customFormat="false" ht="15" hidden="false" customHeight="true" outlineLevel="0" collapsed="false">
      <c r="A4" s="5" t="s">
        <v>4</v>
      </c>
      <c r="B4" s="1" t="n">
        <f aca="false">COUNTIF('Defect Log'!$B$2:$B$53,A4)</f>
        <v>3</v>
      </c>
      <c r="D4" s="6" t="s">
        <v>5</v>
      </c>
      <c r="E4" s="1" t="n">
        <f aca="false">COUNTIF('Defect Log'!$L$2:$L$53,D4)</f>
        <v>14</v>
      </c>
    </row>
    <row r="5" customFormat="false" ht="15" hidden="false" customHeight="true" outlineLevel="0" collapsed="false">
      <c r="A5" s="7" t="s">
        <v>6</v>
      </c>
      <c r="B5" s="1" t="n">
        <f aca="false">COUNTIF('Defect Log'!$B$2:$B$53,A5)</f>
        <v>12</v>
      </c>
      <c r="D5" s="8" t="s">
        <v>7</v>
      </c>
      <c r="E5" s="1" t="n">
        <f aca="false">COUNTIF('Defect Log'!$L$2:$L$53,D5)</f>
        <v>32</v>
      </c>
    </row>
    <row r="6" customFormat="false" ht="15" hidden="false" customHeight="true" outlineLevel="0" collapsed="false">
      <c r="A6" s="9" t="s">
        <v>8</v>
      </c>
      <c r="B6" s="1" t="n">
        <f aca="false">COUNTIF('Defect Log'!$B$2:$B$53,A6)</f>
        <v>24</v>
      </c>
      <c r="D6" s="10" t="s">
        <v>9</v>
      </c>
      <c r="E6" s="1" t="n">
        <f aca="false">COUNTIF('Defect Log'!$L$2:$L$53,D6)</f>
        <v>4</v>
      </c>
    </row>
    <row r="7" customFormat="false" ht="15" hidden="false" customHeight="true" outlineLevel="0" collapsed="false">
      <c r="A7" s="11" t="s">
        <v>10</v>
      </c>
      <c r="B7" s="1" t="n">
        <f aca="false">COUNTIF('Defect Log'!$B$2:$B$53,A7)</f>
        <v>13</v>
      </c>
      <c r="D7" s="12" t="s">
        <v>11</v>
      </c>
      <c r="E7" s="1" t="n">
        <f aca="false">COUNTIF('Defect Log'!$L$2:$L$53,D7)</f>
        <v>1</v>
      </c>
    </row>
    <row r="8" customFormat="false" ht="15" hidden="false" customHeight="true" outlineLevel="0" collapsed="false">
      <c r="A8" s="13" t="s">
        <v>12</v>
      </c>
      <c r="B8" s="13" t="n">
        <f aca="false">SUM(B4:B7)</f>
        <v>52</v>
      </c>
      <c r="D8" s="12" t="s">
        <v>13</v>
      </c>
      <c r="E8" s="1" t="n">
        <f aca="false">COUNTIF('Defect Log'!$L$2:$L$53,D8)</f>
        <v>1</v>
      </c>
    </row>
    <row r="9" customFormat="false" ht="15" hidden="false" customHeight="false" outlineLevel="0" collapsed="false">
      <c r="D9" s="14" t="s">
        <v>12</v>
      </c>
      <c r="E9" s="14" t="n">
        <f aca="false">SUM(E4:E8)</f>
        <v>52</v>
      </c>
    </row>
    <row r="10" customFormat="false" ht="15" hidden="false" customHeight="true" outlineLevel="0" collapsed="false">
      <c r="A10" s="15" t="s">
        <v>14</v>
      </c>
      <c r="B10" s="16" t="s">
        <v>15</v>
      </c>
    </row>
    <row r="11" customFormat="false" ht="15" hidden="false" customHeight="true" outlineLevel="0" collapsed="false">
      <c r="A11" s="15" t="s">
        <v>16</v>
      </c>
      <c r="B11" s="17" t="s">
        <v>17</v>
      </c>
    </row>
    <row r="13" customFormat="false" ht="15" hidden="false" customHeight="true" outlineLevel="0" collapsed="false">
      <c r="A13" s="13" t="s">
        <v>18</v>
      </c>
    </row>
    <row r="14" customFormat="false" ht="15" hidden="false" customHeight="true" outlineLevel="0" collapsed="false">
      <c r="A14" s="18" t="s">
        <v>19</v>
      </c>
      <c r="B14" s="18"/>
      <c r="C14" s="18"/>
      <c r="D14" s="18"/>
      <c r="E14" s="18"/>
      <c r="F14" s="18"/>
    </row>
    <row r="15" customFormat="false" ht="15" hidden="false" customHeight="true" outlineLevel="0" collapsed="false">
      <c r="A15" s="18"/>
      <c r="B15" s="18"/>
      <c r="C15" s="18"/>
      <c r="D15" s="18"/>
      <c r="E15" s="18"/>
      <c r="F15" s="18"/>
    </row>
    <row r="16" customFormat="false" ht="15" hidden="false" customHeight="true" outlineLevel="0" collapsed="false">
      <c r="A16" s="18"/>
      <c r="B16" s="18"/>
      <c r="C16" s="18"/>
      <c r="D16" s="18"/>
      <c r="E16" s="18"/>
      <c r="F16" s="18"/>
    </row>
    <row r="17" customFormat="false" ht="15" hidden="false" customHeight="true" outlineLevel="0" collapsed="false">
      <c r="A17" s="18"/>
      <c r="B17" s="18"/>
      <c r="C17" s="18"/>
      <c r="D17" s="18"/>
      <c r="E17" s="18"/>
      <c r="F17" s="18"/>
    </row>
  </sheetData>
  <mergeCells count="1">
    <mergeCell ref="A14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30"/>
    <col collapsed="false" customWidth="true" hidden="false" outlineLevel="0" max="6" min="6" style="1" width="16"/>
    <col collapsed="false" customWidth="true" hidden="false" outlineLevel="0" max="7" min="7" style="1" width="34"/>
    <col collapsed="false" customWidth="true" hidden="false" outlineLevel="0" max="8" min="8" style="1" width="46"/>
    <col collapsed="false" customWidth="true" hidden="false" outlineLevel="0" max="9" min="9" style="1" width="32"/>
    <col collapsed="false" customWidth="true" hidden="false" outlineLevel="0" max="10" min="10" style="1" width="40"/>
    <col collapsed="false" customWidth="true" hidden="false" outlineLevel="0" max="11" min="11" style="1" width="46"/>
    <col collapsed="false" customWidth="true" hidden="false" outlineLevel="0" max="12" min="12" style="0" width="13"/>
  </cols>
  <sheetData>
    <row r="1" customFormat="false" ht="15" hidden="false" customHeight="true" outlineLevel="0" collapsed="false">
      <c r="A1" s="19" t="s">
        <v>20</v>
      </c>
      <c r="B1" s="19" t="s">
        <v>1</v>
      </c>
      <c r="C1" s="19" t="s">
        <v>21</v>
      </c>
      <c r="D1" s="19" t="s">
        <v>22</v>
      </c>
      <c r="E1" s="19" t="s">
        <v>23</v>
      </c>
      <c r="F1" s="19" t="s">
        <v>24</v>
      </c>
      <c r="G1" s="19" t="s">
        <v>25</v>
      </c>
      <c r="H1" s="19" t="s">
        <v>26</v>
      </c>
      <c r="I1" s="19" t="s">
        <v>27</v>
      </c>
      <c r="J1" s="19" t="s">
        <v>28</v>
      </c>
      <c r="K1" s="19" t="s">
        <v>29</v>
      </c>
      <c r="L1" s="19" t="s">
        <v>3</v>
      </c>
    </row>
    <row r="2" customFormat="false" ht="34.5" hidden="false" customHeight="true" outlineLevel="0" collapsed="false">
      <c r="A2" s="20" t="s">
        <v>30</v>
      </c>
      <c r="B2" s="21" t="s">
        <v>4</v>
      </c>
      <c r="C2" s="20" t="s">
        <v>31</v>
      </c>
      <c r="D2" s="20" t="s">
        <v>32</v>
      </c>
      <c r="E2" s="20" t="s">
        <v>33</v>
      </c>
      <c r="F2" s="20" t="s">
        <v>34</v>
      </c>
      <c r="G2" s="20" t="s">
        <v>35</v>
      </c>
      <c r="H2" s="20" t="s">
        <v>36</v>
      </c>
      <c r="I2" s="20" t="s">
        <v>37</v>
      </c>
      <c r="J2" s="20" t="s">
        <v>38</v>
      </c>
      <c r="K2" s="20" t="s">
        <v>39</v>
      </c>
      <c r="L2" s="22" t="s">
        <v>7</v>
      </c>
    </row>
    <row r="3" customFormat="false" ht="45.75" hidden="false" customHeight="true" outlineLevel="0" collapsed="false">
      <c r="A3" s="20" t="s">
        <v>40</v>
      </c>
      <c r="B3" s="21" t="s">
        <v>4</v>
      </c>
      <c r="C3" s="20" t="s">
        <v>31</v>
      </c>
      <c r="D3" s="20" t="s">
        <v>41</v>
      </c>
      <c r="E3" s="20" t="s">
        <v>42</v>
      </c>
      <c r="F3" s="20" t="s">
        <v>43</v>
      </c>
      <c r="G3" s="20" t="s">
        <v>44</v>
      </c>
      <c r="H3" s="20" t="s">
        <v>45</v>
      </c>
      <c r="I3" s="20" t="s">
        <v>46</v>
      </c>
      <c r="J3" s="20" t="s">
        <v>47</v>
      </c>
      <c r="K3" s="20" t="s">
        <v>48</v>
      </c>
      <c r="L3" s="22" t="s">
        <v>7</v>
      </c>
    </row>
    <row r="4" customFormat="false" ht="34.5" hidden="false" customHeight="true" outlineLevel="0" collapsed="false">
      <c r="A4" s="20" t="s">
        <v>49</v>
      </c>
      <c r="B4" s="21" t="s">
        <v>4</v>
      </c>
      <c r="C4" s="20" t="s">
        <v>31</v>
      </c>
      <c r="D4" s="20" t="s">
        <v>50</v>
      </c>
      <c r="E4" s="20" t="s">
        <v>51</v>
      </c>
      <c r="F4" s="20" t="s">
        <v>43</v>
      </c>
      <c r="G4" s="20" t="s">
        <v>52</v>
      </c>
      <c r="H4" s="20" t="s">
        <v>53</v>
      </c>
      <c r="I4" s="20" t="s">
        <v>54</v>
      </c>
      <c r="J4" s="20" t="s">
        <v>55</v>
      </c>
      <c r="K4" s="20" t="s">
        <v>56</v>
      </c>
      <c r="L4" s="22" t="s">
        <v>7</v>
      </c>
    </row>
    <row r="5" customFormat="false" ht="34.5" hidden="false" customHeight="true" outlineLevel="0" collapsed="false">
      <c r="A5" s="20" t="s">
        <v>57</v>
      </c>
      <c r="B5" s="23" t="s">
        <v>6</v>
      </c>
      <c r="C5" s="20" t="s">
        <v>58</v>
      </c>
      <c r="D5" s="20" t="s">
        <v>59</v>
      </c>
      <c r="E5" s="20" t="s">
        <v>60</v>
      </c>
      <c r="F5" s="20" t="s">
        <v>61</v>
      </c>
      <c r="G5" s="20" t="s">
        <v>62</v>
      </c>
      <c r="H5" s="20" t="s">
        <v>63</v>
      </c>
      <c r="I5" s="20" t="s">
        <v>64</v>
      </c>
      <c r="J5" s="20" t="s">
        <v>65</v>
      </c>
      <c r="K5" s="20" t="s">
        <v>66</v>
      </c>
      <c r="L5" s="24" t="s">
        <v>5</v>
      </c>
    </row>
    <row r="6" customFormat="false" ht="45.75" hidden="false" customHeight="true" outlineLevel="0" collapsed="false">
      <c r="A6" s="20" t="s">
        <v>67</v>
      </c>
      <c r="B6" s="23" t="s">
        <v>6</v>
      </c>
      <c r="C6" s="20" t="s">
        <v>68</v>
      </c>
      <c r="D6" s="20" t="s">
        <v>69</v>
      </c>
      <c r="E6" s="20" t="s">
        <v>70</v>
      </c>
      <c r="F6" s="20" t="s">
        <v>43</v>
      </c>
      <c r="G6" s="20" t="s">
        <v>71</v>
      </c>
      <c r="H6" s="20" t="s">
        <v>72</v>
      </c>
      <c r="I6" s="20" t="s">
        <v>73</v>
      </c>
      <c r="J6" s="20" t="s">
        <v>74</v>
      </c>
      <c r="K6" s="20" t="s">
        <v>75</v>
      </c>
      <c r="L6" s="24" t="s">
        <v>5</v>
      </c>
    </row>
    <row r="7" customFormat="false" ht="34.5" hidden="false" customHeight="true" outlineLevel="0" collapsed="false">
      <c r="A7" s="20" t="s">
        <v>76</v>
      </c>
      <c r="B7" s="23" t="s">
        <v>6</v>
      </c>
      <c r="C7" s="20" t="s">
        <v>68</v>
      </c>
      <c r="D7" s="20" t="s">
        <v>77</v>
      </c>
      <c r="E7" s="20" t="s">
        <v>78</v>
      </c>
      <c r="F7" s="20" t="s">
        <v>79</v>
      </c>
      <c r="G7" s="20" t="s">
        <v>80</v>
      </c>
      <c r="H7" s="20" t="s">
        <v>81</v>
      </c>
      <c r="I7" s="20" t="s">
        <v>82</v>
      </c>
      <c r="J7" s="20" t="s">
        <v>83</v>
      </c>
      <c r="K7" s="20" t="s">
        <v>84</v>
      </c>
      <c r="L7" s="24" t="s">
        <v>5</v>
      </c>
    </row>
    <row r="8" customFormat="false" ht="34.5" hidden="false" customHeight="true" outlineLevel="0" collapsed="false">
      <c r="A8" s="20" t="s">
        <v>85</v>
      </c>
      <c r="B8" s="23" t="s">
        <v>6</v>
      </c>
      <c r="C8" s="20" t="s">
        <v>86</v>
      </c>
      <c r="D8" s="20" t="s">
        <v>87</v>
      </c>
      <c r="E8" s="20" t="s">
        <v>88</v>
      </c>
      <c r="F8" s="20" t="s">
        <v>79</v>
      </c>
      <c r="G8" s="20" t="s">
        <v>89</v>
      </c>
      <c r="H8" s="20" t="s">
        <v>90</v>
      </c>
      <c r="I8" s="20" t="s">
        <v>91</v>
      </c>
      <c r="J8" s="20" t="s">
        <v>92</v>
      </c>
      <c r="K8" s="20" t="s">
        <v>93</v>
      </c>
      <c r="L8" s="24" t="s">
        <v>5</v>
      </c>
    </row>
    <row r="9" customFormat="false" ht="45.75" hidden="false" customHeight="true" outlineLevel="0" collapsed="false">
      <c r="A9" s="20" t="s">
        <v>94</v>
      </c>
      <c r="B9" s="23" t="s">
        <v>6</v>
      </c>
      <c r="C9" s="20" t="s">
        <v>68</v>
      </c>
      <c r="D9" s="20" t="s">
        <v>95</v>
      </c>
      <c r="E9" s="20" t="s">
        <v>96</v>
      </c>
      <c r="F9" s="20" t="s">
        <v>79</v>
      </c>
      <c r="G9" s="20" t="s">
        <v>97</v>
      </c>
      <c r="H9" s="20" t="s">
        <v>98</v>
      </c>
      <c r="I9" s="20" t="s">
        <v>99</v>
      </c>
      <c r="J9" s="20" t="s">
        <v>100</v>
      </c>
      <c r="K9" s="20" t="s">
        <v>101</v>
      </c>
      <c r="L9" s="24" t="s">
        <v>5</v>
      </c>
    </row>
    <row r="10" customFormat="false" ht="34.5" hidden="false" customHeight="true" outlineLevel="0" collapsed="false">
      <c r="A10" s="20" t="s">
        <v>102</v>
      </c>
      <c r="B10" s="23" t="s">
        <v>6</v>
      </c>
      <c r="C10" s="20" t="s">
        <v>86</v>
      </c>
      <c r="D10" s="20" t="s">
        <v>103</v>
      </c>
      <c r="E10" s="20" t="s">
        <v>104</v>
      </c>
      <c r="F10" s="20" t="s">
        <v>105</v>
      </c>
      <c r="G10" s="20" t="s">
        <v>106</v>
      </c>
      <c r="H10" s="20" t="s">
        <v>107</v>
      </c>
      <c r="I10" s="20" t="s">
        <v>108</v>
      </c>
      <c r="J10" s="20" t="s">
        <v>109</v>
      </c>
      <c r="K10" s="20" t="s">
        <v>110</v>
      </c>
      <c r="L10" s="24" t="s">
        <v>5</v>
      </c>
    </row>
    <row r="11" customFormat="false" ht="34.5" hidden="false" customHeight="true" outlineLevel="0" collapsed="false">
      <c r="A11" s="20" t="s">
        <v>111</v>
      </c>
      <c r="B11" s="23" t="s">
        <v>6</v>
      </c>
      <c r="C11" s="20" t="s">
        <v>68</v>
      </c>
      <c r="D11" s="20" t="s">
        <v>103</v>
      </c>
      <c r="E11" s="20" t="s">
        <v>112</v>
      </c>
      <c r="F11" s="20" t="s">
        <v>105</v>
      </c>
      <c r="G11" s="20" t="s">
        <v>113</v>
      </c>
      <c r="H11" s="20" t="s">
        <v>114</v>
      </c>
      <c r="I11" s="20" t="s">
        <v>115</v>
      </c>
      <c r="J11" s="20" t="s">
        <v>116</v>
      </c>
      <c r="K11" s="20" t="s">
        <v>117</v>
      </c>
      <c r="L11" s="24" t="s">
        <v>5</v>
      </c>
    </row>
    <row r="12" customFormat="false" ht="45.75" hidden="false" customHeight="true" outlineLevel="0" collapsed="false">
      <c r="A12" s="20" t="s">
        <v>118</v>
      </c>
      <c r="B12" s="23" t="s">
        <v>6</v>
      </c>
      <c r="C12" s="20" t="s">
        <v>119</v>
      </c>
      <c r="D12" s="20" t="s">
        <v>120</v>
      </c>
      <c r="E12" s="20" t="s">
        <v>121</v>
      </c>
      <c r="F12" s="20" t="s">
        <v>43</v>
      </c>
      <c r="G12" s="20" t="s">
        <v>122</v>
      </c>
      <c r="H12" s="20" t="s">
        <v>123</v>
      </c>
      <c r="I12" s="20" t="s">
        <v>124</v>
      </c>
      <c r="J12" s="20" t="s">
        <v>125</v>
      </c>
      <c r="K12" s="20" t="s">
        <v>126</v>
      </c>
      <c r="L12" s="22" t="s">
        <v>7</v>
      </c>
    </row>
    <row r="13" customFormat="false" ht="34.5" hidden="false" customHeight="true" outlineLevel="0" collapsed="false">
      <c r="A13" s="20" t="s">
        <v>127</v>
      </c>
      <c r="B13" s="23" t="s">
        <v>6</v>
      </c>
      <c r="C13" s="20" t="s">
        <v>119</v>
      </c>
      <c r="D13" s="20" t="s">
        <v>103</v>
      </c>
      <c r="E13" s="20" t="s">
        <v>128</v>
      </c>
      <c r="F13" s="20" t="s">
        <v>43</v>
      </c>
      <c r="G13" s="20" t="s">
        <v>129</v>
      </c>
      <c r="H13" s="20" t="s">
        <v>130</v>
      </c>
      <c r="I13" s="20" t="s">
        <v>131</v>
      </c>
      <c r="J13" s="20" t="s">
        <v>132</v>
      </c>
      <c r="K13" s="20" t="s">
        <v>133</v>
      </c>
      <c r="L13" s="22" t="s">
        <v>7</v>
      </c>
    </row>
    <row r="14" customFormat="false" ht="45.75" hidden="false" customHeight="true" outlineLevel="0" collapsed="false">
      <c r="A14" s="20" t="s">
        <v>134</v>
      </c>
      <c r="B14" s="23" t="s">
        <v>6</v>
      </c>
      <c r="C14" s="20" t="s">
        <v>135</v>
      </c>
      <c r="D14" s="20" t="s">
        <v>103</v>
      </c>
      <c r="E14" s="20" t="s">
        <v>136</v>
      </c>
      <c r="F14" s="20" t="s">
        <v>137</v>
      </c>
      <c r="G14" s="20" t="s">
        <v>138</v>
      </c>
      <c r="H14" s="20" t="s">
        <v>139</v>
      </c>
      <c r="I14" s="20" t="s">
        <v>140</v>
      </c>
      <c r="J14" s="20" t="s">
        <v>141</v>
      </c>
      <c r="K14" s="20" t="s">
        <v>142</v>
      </c>
      <c r="L14" s="22" t="s">
        <v>7</v>
      </c>
    </row>
    <row r="15" customFormat="false" ht="34.5" hidden="false" customHeight="true" outlineLevel="0" collapsed="false">
      <c r="A15" s="20" t="s">
        <v>143</v>
      </c>
      <c r="B15" s="23" t="s">
        <v>6</v>
      </c>
      <c r="C15" s="20" t="s">
        <v>31</v>
      </c>
      <c r="D15" s="20" t="s">
        <v>144</v>
      </c>
      <c r="E15" s="20" t="s">
        <v>145</v>
      </c>
      <c r="F15" s="20" t="s">
        <v>43</v>
      </c>
      <c r="G15" s="20" t="s">
        <v>146</v>
      </c>
      <c r="H15" s="20" t="s">
        <v>147</v>
      </c>
      <c r="I15" s="20" t="s">
        <v>148</v>
      </c>
      <c r="J15" s="20" t="s">
        <v>149</v>
      </c>
      <c r="K15" s="20" t="s">
        <v>150</v>
      </c>
      <c r="L15" s="22" t="s">
        <v>7</v>
      </c>
    </row>
    <row r="16" customFormat="false" ht="34.5" hidden="false" customHeight="true" outlineLevel="0" collapsed="false">
      <c r="A16" s="20" t="s">
        <v>151</v>
      </c>
      <c r="B16" s="23" t="s">
        <v>6</v>
      </c>
      <c r="C16" s="20" t="s">
        <v>68</v>
      </c>
      <c r="D16" s="20" t="s">
        <v>152</v>
      </c>
      <c r="E16" s="20" t="s">
        <v>153</v>
      </c>
      <c r="F16" s="20" t="s">
        <v>105</v>
      </c>
      <c r="G16" s="20" t="s">
        <v>154</v>
      </c>
      <c r="H16" s="20" t="s">
        <v>155</v>
      </c>
      <c r="I16" s="20" t="s">
        <v>156</v>
      </c>
      <c r="J16" s="20" t="s">
        <v>157</v>
      </c>
      <c r="K16" s="20" t="s">
        <v>158</v>
      </c>
      <c r="L16" s="24" t="s">
        <v>5</v>
      </c>
    </row>
    <row r="17" customFormat="false" ht="34.5" hidden="false" customHeight="true" outlineLevel="0" collapsed="false">
      <c r="A17" s="20" t="s">
        <v>159</v>
      </c>
      <c r="B17" s="25" t="s">
        <v>8</v>
      </c>
      <c r="C17" s="20" t="s">
        <v>68</v>
      </c>
      <c r="D17" s="20" t="s">
        <v>77</v>
      </c>
      <c r="E17" s="20" t="s">
        <v>160</v>
      </c>
      <c r="F17" s="20" t="s">
        <v>161</v>
      </c>
      <c r="G17" s="20" t="s">
        <v>162</v>
      </c>
      <c r="H17" s="20" t="s">
        <v>163</v>
      </c>
      <c r="I17" s="20" t="s">
        <v>164</v>
      </c>
      <c r="J17" s="20" t="s">
        <v>165</v>
      </c>
      <c r="K17" s="20" t="s">
        <v>166</v>
      </c>
      <c r="L17" s="26" t="s">
        <v>9</v>
      </c>
    </row>
    <row r="18" customFormat="false" ht="23.25" hidden="false" customHeight="true" outlineLevel="0" collapsed="false">
      <c r="A18" s="20" t="s">
        <v>167</v>
      </c>
      <c r="B18" s="25" t="s">
        <v>8</v>
      </c>
      <c r="C18" s="20" t="s">
        <v>168</v>
      </c>
      <c r="D18" s="20" t="s">
        <v>103</v>
      </c>
      <c r="E18" s="20" t="s">
        <v>169</v>
      </c>
      <c r="F18" s="20" t="s">
        <v>161</v>
      </c>
      <c r="G18" s="20" t="s">
        <v>170</v>
      </c>
      <c r="H18" s="20" t="s">
        <v>171</v>
      </c>
      <c r="I18" s="20" t="s">
        <v>172</v>
      </c>
      <c r="J18" s="20" t="s">
        <v>173</v>
      </c>
      <c r="K18" s="20" t="s">
        <v>174</v>
      </c>
      <c r="L18" s="22" t="s">
        <v>7</v>
      </c>
    </row>
    <row r="19" customFormat="false" ht="23.25" hidden="false" customHeight="true" outlineLevel="0" collapsed="false">
      <c r="A19" s="20" t="s">
        <v>175</v>
      </c>
      <c r="B19" s="25" t="s">
        <v>8</v>
      </c>
      <c r="C19" s="20" t="s">
        <v>68</v>
      </c>
      <c r="D19" s="20" t="s">
        <v>176</v>
      </c>
      <c r="E19" s="20" t="s">
        <v>177</v>
      </c>
      <c r="F19" s="20" t="s">
        <v>161</v>
      </c>
      <c r="G19" s="20" t="s">
        <v>178</v>
      </c>
      <c r="H19" s="20" t="s">
        <v>179</v>
      </c>
      <c r="I19" s="20" t="s">
        <v>180</v>
      </c>
      <c r="J19" s="20" t="s">
        <v>181</v>
      </c>
      <c r="K19" s="20" t="s">
        <v>182</v>
      </c>
      <c r="L19" s="22" t="s">
        <v>7</v>
      </c>
    </row>
    <row r="20" customFormat="false" ht="34.5" hidden="false" customHeight="true" outlineLevel="0" collapsed="false">
      <c r="A20" s="20" t="s">
        <v>183</v>
      </c>
      <c r="B20" s="25" t="s">
        <v>8</v>
      </c>
      <c r="C20" s="20" t="s">
        <v>184</v>
      </c>
      <c r="D20" s="20" t="s">
        <v>87</v>
      </c>
      <c r="E20" s="20" t="s">
        <v>185</v>
      </c>
      <c r="F20" s="20" t="s">
        <v>161</v>
      </c>
      <c r="G20" s="20" t="s">
        <v>186</v>
      </c>
      <c r="H20" s="20" t="s">
        <v>187</v>
      </c>
      <c r="I20" s="20" t="s">
        <v>188</v>
      </c>
      <c r="J20" s="20" t="s">
        <v>189</v>
      </c>
      <c r="K20" s="20" t="s">
        <v>190</v>
      </c>
      <c r="L20" s="22" t="s">
        <v>7</v>
      </c>
    </row>
    <row r="21" customFormat="false" ht="34.5" hidden="false" customHeight="true" outlineLevel="0" collapsed="false">
      <c r="A21" s="20" t="s">
        <v>191</v>
      </c>
      <c r="B21" s="25" t="s">
        <v>8</v>
      </c>
      <c r="C21" s="20" t="s">
        <v>58</v>
      </c>
      <c r="D21" s="20" t="s">
        <v>87</v>
      </c>
      <c r="E21" s="20" t="s">
        <v>192</v>
      </c>
      <c r="F21" s="20" t="s">
        <v>161</v>
      </c>
      <c r="G21" s="20" t="s">
        <v>193</v>
      </c>
      <c r="H21" s="20" t="s">
        <v>194</v>
      </c>
      <c r="I21" s="20" t="s">
        <v>195</v>
      </c>
      <c r="J21" s="20" t="s">
        <v>196</v>
      </c>
      <c r="K21" s="20" t="s">
        <v>197</v>
      </c>
      <c r="L21" s="24" t="s">
        <v>5</v>
      </c>
    </row>
    <row r="22" customFormat="false" ht="23.25" hidden="false" customHeight="true" outlineLevel="0" collapsed="false">
      <c r="A22" s="20" t="s">
        <v>198</v>
      </c>
      <c r="B22" s="25" t="s">
        <v>8</v>
      </c>
      <c r="C22" s="20" t="s">
        <v>58</v>
      </c>
      <c r="D22" s="20" t="s">
        <v>103</v>
      </c>
      <c r="E22" s="20" t="s">
        <v>199</v>
      </c>
      <c r="F22" s="20" t="s">
        <v>105</v>
      </c>
      <c r="G22" s="20" t="s">
        <v>200</v>
      </c>
      <c r="H22" s="20" t="s">
        <v>201</v>
      </c>
      <c r="I22" s="20" t="s">
        <v>202</v>
      </c>
      <c r="J22" s="20" t="s">
        <v>203</v>
      </c>
      <c r="K22" s="20" t="s">
        <v>204</v>
      </c>
      <c r="L22" s="24" t="s">
        <v>5</v>
      </c>
    </row>
    <row r="23" customFormat="false" ht="23.25" hidden="false" customHeight="true" outlineLevel="0" collapsed="false">
      <c r="A23" s="20" t="s">
        <v>205</v>
      </c>
      <c r="B23" s="25" t="s">
        <v>8</v>
      </c>
      <c r="C23" s="20" t="s">
        <v>206</v>
      </c>
      <c r="D23" s="20" t="s">
        <v>207</v>
      </c>
      <c r="E23" s="20" t="s">
        <v>208</v>
      </c>
      <c r="F23" s="20" t="s">
        <v>161</v>
      </c>
      <c r="G23" s="20" t="s">
        <v>209</v>
      </c>
      <c r="H23" s="20" t="s">
        <v>210</v>
      </c>
      <c r="I23" s="20" t="s">
        <v>211</v>
      </c>
      <c r="J23" s="20" t="s">
        <v>212</v>
      </c>
      <c r="K23" s="20" t="s">
        <v>213</v>
      </c>
      <c r="L23" s="22" t="s">
        <v>7</v>
      </c>
    </row>
    <row r="24" customFormat="false" ht="34.5" hidden="false" customHeight="true" outlineLevel="0" collapsed="false">
      <c r="A24" s="20" t="s">
        <v>214</v>
      </c>
      <c r="B24" s="25" t="s">
        <v>8</v>
      </c>
      <c r="C24" s="20" t="s">
        <v>119</v>
      </c>
      <c r="D24" s="20" t="s">
        <v>215</v>
      </c>
      <c r="E24" s="20" t="s">
        <v>216</v>
      </c>
      <c r="F24" s="20" t="s">
        <v>161</v>
      </c>
      <c r="G24" s="20" t="s">
        <v>217</v>
      </c>
      <c r="H24" s="20" t="s">
        <v>218</v>
      </c>
      <c r="I24" s="20" t="s">
        <v>219</v>
      </c>
      <c r="J24" s="20" t="s">
        <v>220</v>
      </c>
      <c r="K24" s="20" t="s">
        <v>221</v>
      </c>
      <c r="L24" s="22" t="s">
        <v>7</v>
      </c>
    </row>
    <row r="25" customFormat="false" ht="34.5" hidden="false" customHeight="true" outlineLevel="0" collapsed="false">
      <c r="A25" s="20" t="s">
        <v>222</v>
      </c>
      <c r="B25" s="25" t="s">
        <v>8</v>
      </c>
      <c r="C25" s="20" t="s">
        <v>135</v>
      </c>
      <c r="D25" s="20" t="s">
        <v>103</v>
      </c>
      <c r="E25" s="20" t="s">
        <v>223</v>
      </c>
      <c r="F25" s="20" t="s">
        <v>161</v>
      </c>
      <c r="G25" s="20" t="s">
        <v>224</v>
      </c>
      <c r="H25" s="20" t="s">
        <v>225</v>
      </c>
      <c r="I25" s="20" t="s">
        <v>226</v>
      </c>
      <c r="J25" s="20" t="s">
        <v>227</v>
      </c>
      <c r="K25" s="20" t="s">
        <v>228</v>
      </c>
      <c r="L25" s="26" t="s">
        <v>9</v>
      </c>
    </row>
    <row r="26" customFormat="false" ht="45.75" hidden="false" customHeight="true" outlineLevel="0" collapsed="false">
      <c r="A26" s="20" t="s">
        <v>229</v>
      </c>
      <c r="B26" s="25" t="s">
        <v>8</v>
      </c>
      <c r="C26" s="20" t="s">
        <v>230</v>
      </c>
      <c r="D26" s="20" t="s">
        <v>231</v>
      </c>
      <c r="E26" s="20" t="s">
        <v>232</v>
      </c>
      <c r="F26" s="20" t="s">
        <v>161</v>
      </c>
      <c r="G26" s="20" t="s">
        <v>233</v>
      </c>
      <c r="H26" s="20" t="s">
        <v>234</v>
      </c>
      <c r="I26" s="20" t="s">
        <v>235</v>
      </c>
      <c r="J26" s="20" t="s">
        <v>236</v>
      </c>
      <c r="K26" s="20" t="s">
        <v>237</v>
      </c>
      <c r="L26" s="26" t="s">
        <v>9</v>
      </c>
    </row>
    <row r="27" customFormat="false" ht="45.75" hidden="false" customHeight="true" outlineLevel="0" collapsed="false">
      <c r="A27" s="20" t="s">
        <v>238</v>
      </c>
      <c r="B27" s="25" t="s">
        <v>8</v>
      </c>
      <c r="C27" s="20" t="s">
        <v>68</v>
      </c>
      <c r="D27" s="20" t="s">
        <v>103</v>
      </c>
      <c r="E27" s="20" t="s">
        <v>239</v>
      </c>
      <c r="F27" s="20" t="s">
        <v>161</v>
      </c>
      <c r="G27" s="20" t="s">
        <v>240</v>
      </c>
      <c r="H27" s="20" t="s">
        <v>241</v>
      </c>
      <c r="I27" s="20" t="s">
        <v>242</v>
      </c>
      <c r="J27" s="20" t="s">
        <v>243</v>
      </c>
      <c r="K27" s="20" t="s">
        <v>244</v>
      </c>
      <c r="L27" s="24" t="s">
        <v>5</v>
      </c>
    </row>
    <row r="28" customFormat="false" ht="34.5" hidden="false" customHeight="true" outlineLevel="0" collapsed="false">
      <c r="A28" s="20" t="s">
        <v>245</v>
      </c>
      <c r="B28" s="25" t="s">
        <v>8</v>
      </c>
      <c r="C28" s="20" t="s">
        <v>68</v>
      </c>
      <c r="D28" s="20" t="s">
        <v>246</v>
      </c>
      <c r="E28" s="20" t="s">
        <v>247</v>
      </c>
      <c r="F28" s="20" t="s">
        <v>161</v>
      </c>
      <c r="G28" s="20" t="s">
        <v>248</v>
      </c>
      <c r="H28" s="20" t="s">
        <v>249</v>
      </c>
      <c r="I28" s="20" t="s">
        <v>250</v>
      </c>
      <c r="J28" s="20" t="s">
        <v>251</v>
      </c>
      <c r="K28" s="20" t="s">
        <v>252</v>
      </c>
      <c r="L28" s="24" t="s">
        <v>5</v>
      </c>
    </row>
    <row r="29" customFormat="false" ht="34.5" hidden="false" customHeight="true" outlineLevel="0" collapsed="false">
      <c r="A29" s="20" t="s">
        <v>253</v>
      </c>
      <c r="B29" s="25" t="s">
        <v>8</v>
      </c>
      <c r="C29" s="20" t="s">
        <v>254</v>
      </c>
      <c r="D29" s="20" t="s">
        <v>103</v>
      </c>
      <c r="E29" s="20" t="s">
        <v>255</v>
      </c>
      <c r="F29" s="20" t="s">
        <v>161</v>
      </c>
      <c r="G29" s="20" t="s">
        <v>256</v>
      </c>
      <c r="H29" s="20" t="s">
        <v>257</v>
      </c>
      <c r="I29" s="20" t="s">
        <v>258</v>
      </c>
      <c r="J29" s="20" t="s">
        <v>259</v>
      </c>
      <c r="K29" s="20" t="s">
        <v>260</v>
      </c>
      <c r="L29" s="22" t="s">
        <v>7</v>
      </c>
    </row>
    <row r="30" customFormat="false" ht="34.5" hidden="false" customHeight="true" outlineLevel="0" collapsed="false">
      <c r="A30" s="20" t="s">
        <v>261</v>
      </c>
      <c r="B30" s="25" t="s">
        <v>8</v>
      </c>
      <c r="C30" s="20" t="s">
        <v>254</v>
      </c>
      <c r="D30" s="20" t="s">
        <v>262</v>
      </c>
      <c r="E30" s="20" t="s">
        <v>263</v>
      </c>
      <c r="F30" s="20" t="s">
        <v>161</v>
      </c>
      <c r="G30" s="20" t="s">
        <v>264</v>
      </c>
      <c r="H30" s="20" t="s">
        <v>265</v>
      </c>
      <c r="I30" s="20" t="s">
        <v>266</v>
      </c>
      <c r="J30" s="20" t="s">
        <v>267</v>
      </c>
      <c r="K30" s="20" t="s">
        <v>268</v>
      </c>
      <c r="L30" s="22" t="s">
        <v>7</v>
      </c>
    </row>
    <row r="31" customFormat="false" ht="34.5" hidden="false" customHeight="true" outlineLevel="0" collapsed="false">
      <c r="A31" s="20" t="s">
        <v>269</v>
      </c>
      <c r="B31" s="25" t="s">
        <v>8</v>
      </c>
      <c r="C31" s="20" t="s">
        <v>119</v>
      </c>
      <c r="D31" s="20" t="s">
        <v>270</v>
      </c>
      <c r="E31" s="20" t="s">
        <v>271</v>
      </c>
      <c r="F31" s="20" t="s">
        <v>161</v>
      </c>
      <c r="G31" s="20" t="s">
        <v>272</v>
      </c>
      <c r="H31" s="20" t="s">
        <v>273</v>
      </c>
      <c r="I31" s="20" t="s">
        <v>274</v>
      </c>
      <c r="J31" s="20" t="s">
        <v>275</v>
      </c>
      <c r="K31" s="20" t="s">
        <v>276</v>
      </c>
      <c r="L31" s="22" t="s">
        <v>7</v>
      </c>
    </row>
    <row r="32" customFormat="false" ht="34.5" hidden="false" customHeight="true" outlineLevel="0" collapsed="false">
      <c r="A32" s="20" t="s">
        <v>277</v>
      </c>
      <c r="B32" s="25" t="s">
        <v>8</v>
      </c>
      <c r="C32" s="20" t="s">
        <v>119</v>
      </c>
      <c r="D32" s="20" t="s">
        <v>278</v>
      </c>
      <c r="E32" s="20" t="s">
        <v>279</v>
      </c>
      <c r="F32" s="20" t="s">
        <v>161</v>
      </c>
      <c r="G32" s="20" t="s">
        <v>280</v>
      </c>
      <c r="H32" s="20" t="s">
        <v>281</v>
      </c>
      <c r="I32" s="20" t="s">
        <v>282</v>
      </c>
      <c r="J32" s="20" t="s">
        <v>283</v>
      </c>
      <c r="K32" s="20" t="s">
        <v>284</v>
      </c>
      <c r="L32" s="22" t="s">
        <v>7</v>
      </c>
    </row>
    <row r="33" customFormat="false" ht="34.5" hidden="false" customHeight="true" outlineLevel="0" collapsed="false">
      <c r="A33" s="20" t="s">
        <v>285</v>
      </c>
      <c r="B33" s="25" t="s">
        <v>8</v>
      </c>
      <c r="C33" s="20" t="s">
        <v>68</v>
      </c>
      <c r="D33" s="20" t="s">
        <v>286</v>
      </c>
      <c r="E33" s="20" t="s">
        <v>287</v>
      </c>
      <c r="F33" s="20" t="s">
        <v>79</v>
      </c>
      <c r="G33" s="20" t="s">
        <v>288</v>
      </c>
      <c r="H33" s="20" t="s">
        <v>289</v>
      </c>
      <c r="I33" s="20" t="s">
        <v>290</v>
      </c>
      <c r="J33" s="20" t="s">
        <v>291</v>
      </c>
      <c r="K33" s="20" t="s">
        <v>292</v>
      </c>
      <c r="L33" s="24" t="s">
        <v>5</v>
      </c>
    </row>
    <row r="34" customFormat="false" ht="34.5" hidden="false" customHeight="true" outlineLevel="0" collapsed="false">
      <c r="A34" s="20" t="s">
        <v>293</v>
      </c>
      <c r="B34" s="25" t="s">
        <v>8</v>
      </c>
      <c r="C34" s="20" t="s">
        <v>31</v>
      </c>
      <c r="D34" s="20" t="s">
        <v>207</v>
      </c>
      <c r="E34" s="20" t="s">
        <v>294</v>
      </c>
      <c r="F34" s="20" t="s">
        <v>161</v>
      </c>
      <c r="G34" s="20" t="s">
        <v>295</v>
      </c>
      <c r="H34" s="20" t="s">
        <v>296</v>
      </c>
      <c r="I34" s="20" t="s">
        <v>297</v>
      </c>
      <c r="J34" s="20" t="s">
        <v>298</v>
      </c>
      <c r="K34" s="20" t="s">
        <v>299</v>
      </c>
      <c r="L34" s="22" t="s">
        <v>7</v>
      </c>
    </row>
    <row r="35" customFormat="false" ht="34.5" hidden="false" customHeight="true" outlineLevel="0" collapsed="false">
      <c r="A35" s="20" t="s">
        <v>300</v>
      </c>
      <c r="B35" s="25" t="s">
        <v>8</v>
      </c>
      <c r="C35" s="20" t="s">
        <v>31</v>
      </c>
      <c r="D35" s="20" t="s">
        <v>301</v>
      </c>
      <c r="E35" s="20" t="s">
        <v>302</v>
      </c>
      <c r="F35" s="20" t="s">
        <v>161</v>
      </c>
      <c r="G35" s="20" t="s">
        <v>303</v>
      </c>
      <c r="H35" s="20" t="s">
        <v>304</v>
      </c>
      <c r="I35" s="20" t="s">
        <v>305</v>
      </c>
      <c r="J35" s="20" t="s">
        <v>306</v>
      </c>
      <c r="K35" s="20" t="s">
        <v>307</v>
      </c>
      <c r="L35" s="22" t="s">
        <v>7</v>
      </c>
    </row>
    <row r="36" customFormat="false" ht="23.25" hidden="false" customHeight="true" outlineLevel="0" collapsed="false">
      <c r="A36" s="20" t="s">
        <v>308</v>
      </c>
      <c r="B36" s="25" t="s">
        <v>8</v>
      </c>
      <c r="C36" s="20" t="s">
        <v>68</v>
      </c>
      <c r="D36" s="20" t="s">
        <v>309</v>
      </c>
      <c r="E36" s="20" t="s">
        <v>310</v>
      </c>
      <c r="F36" s="20" t="s">
        <v>161</v>
      </c>
      <c r="G36" s="20" t="s">
        <v>311</v>
      </c>
      <c r="H36" s="20" t="s">
        <v>312</v>
      </c>
      <c r="I36" s="20" t="s">
        <v>313</v>
      </c>
      <c r="J36" s="20" t="s">
        <v>314</v>
      </c>
      <c r="K36" s="20" t="s">
        <v>315</v>
      </c>
      <c r="L36" s="26" t="s">
        <v>9</v>
      </c>
    </row>
    <row r="37" customFormat="false" ht="23.25" hidden="false" customHeight="true" outlineLevel="0" collapsed="false">
      <c r="A37" s="20" t="s">
        <v>316</v>
      </c>
      <c r="B37" s="25" t="s">
        <v>8</v>
      </c>
      <c r="C37" s="20" t="s">
        <v>119</v>
      </c>
      <c r="D37" s="20" t="s">
        <v>317</v>
      </c>
      <c r="E37" s="20" t="s">
        <v>318</v>
      </c>
      <c r="F37" s="20" t="s">
        <v>161</v>
      </c>
      <c r="G37" s="20" t="s">
        <v>319</v>
      </c>
      <c r="H37" s="20" t="s">
        <v>320</v>
      </c>
      <c r="I37" s="20" t="s">
        <v>321</v>
      </c>
      <c r="J37" s="20" t="s">
        <v>322</v>
      </c>
      <c r="K37" s="20" t="s">
        <v>323</v>
      </c>
      <c r="L37" s="22" t="s">
        <v>7</v>
      </c>
    </row>
    <row r="38" customFormat="false" ht="34.5" hidden="false" customHeight="true" outlineLevel="0" collapsed="false">
      <c r="A38" s="20" t="s">
        <v>324</v>
      </c>
      <c r="B38" s="25" t="s">
        <v>8</v>
      </c>
      <c r="C38" s="20" t="s">
        <v>325</v>
      </c>
      <c r="D38" s="20" t="s">
        <v>286</v>
      </c>
      <c r="E38" s="20" t="s">
        <v>326</v>
      </c>
      <c r="F38" s="20" t="s">
        <v>161</v>
      </c>
      <c r="G38" s="20" t="s">
        <v>327</v>
      </c>
      <c r="H38" s="20" t="s">
        <v>328</v>
      </c>
      <c r="I38" s="20" t="s">
        <v>329</v>
      </c>
      <c r="J38" s="20" t="s">
        <v>330</v>
      </c>
      <c r="K38" s="20" t="s">
        <v>331</v>
      </c>
      <c r="L38" s="22" t="s">
        <v>7</v>
      </c>
    </row>
    <row r="39" customFormat="false" ht="23.25" hidden="false" customHeight="true" outlineLevel="0" collapsed="false">
      <c r="A39" s="20" t="s">
        <v>332</v>
      </c>
      <c r="B39" s="25" t="s">
        <v>8</v>
      </c>
      <c r="C39" s="20" t="s">
        <v>333</v>
      </c>
      <c r="D39" s="20" t="s">
        <v>334</v>
      </c>
      <c r="E39" s="20" t="s">
        <v>335</v>
      </c>
      <c r="F39" s="20" t="s">
        <v>43</v>
      </c>
      <c r="G39" s="20" t="s">
        <v>336</v>
      </c>
      <c r="H39" s="20" t="s">
        <v>337</v>
      </c>
      <c r="I39" s="20" t="s">
        <v>338</v>
      </c>
      <c r="J39" s="20" t="s">
        <v>339</v>
      </c>
      <c r="K39" s="20" t="s">
        <v>340</v>
      </c>
      <c r="L39" s="24" t="s">
        <v>5</v>
      </c>
    </row>
    <row r="40" customFormat="false" ht="23.25" hidden="false" customHeight="true" outlineLevel="0" collapsed="false">
      <c r="A40" s="20" t="s">
        <v>341</v>
      </c>
      <c r="B40" s="25" t="s">
        <v>8</v>
      </c>
      <c r="C40" s="20" t="s">
        <v>342</v>
      </c>
      <c r="D40" s="20" t="s">
        <v>77</v>
      </c>
      <c r="E40" s="20" t="s">
        <v>343</v>
      </c>
      <c r="F40" s="20" t="s">
        <v>79</v>
      </c>
      <c r="G40" s="20" t="s">
        <v>344</v>
      </c>
      <c r="H40" s="20" t="s">
        <v>345</v>
      </c>
      <c r="I40" s="20" t="s">
        <v>346</v>
      </c>
      <c r="J40" s="20" t="s">
        <v>347</v>
      </c>
      <c r="K40" s="20" t="s">
        <v>348</v>
      </c>
      <c r="L40" s="27" t="s">
        <v>11</v>
      </c>
    </row>
    <row r="41" customFormat="false" ht="34.5" hidden="false" customHeight="true" outlineLevel="0" collapsed="false">
      <c r="A41" s="20" t="s">
        <v>349</v>
      </c>
      <c r="B41" s="28" t="s">
        <v>10</v>
      </c>
      <c r="C41" s="20" t="s">
        <v>350</v>
      </c>
      <c r="D41" s="20" t="s">
        <v>334</v>
      </c>
      <c r="E41" s="20" t="s">
        <v>351</v>
      </c>
      <c r="F41" s="20" t="s">
        <v>161</v>
      </c>
      <c r="G41" s="20" t="s">
        <v>352</v>
      </c>
      <c r="H41" s="20" t="s">
        <v>353</v>
      </c>
      <c r="I41" s="20" t="s">
        <v>354</v>
      </c>
      <c r="J41" s="20" t="s">
        <v>355</v>
      </c>
      <c r="K41" s="20" t="s">
        <v>356</v>
      </c>
      <c r="L41" s="22" t="s">
        <v>7</v>
      </c>
    </row>
    <row r="42" customFormat="false" ht="23.25" hidden="false" customHeight="true" outlineLevel="0" collapsed="false">
      <c r="A42" s="20" t="s">
        <v>357</v>
      </c>
      <c r="B42" s="28" t="s">
        <v>10</v>
      </c>
      <c r="C42" s="20" t="s">
        <v>58</v>
      </c>
      <c r="D42" s="20" t="s">
        <v>152</v>
      </c>
      <c r="E42" s="20" t="s">
        <v>358</v>
      </c>
      <c r="F42" s="20" t="s">
        <v>161</v>
      </c>
      <c r="G42" s="20" t="s">
        <v>359</v>
      </c>
      <c r="H42" s="20" t="s">
        <v>360</v>
      </c>
      <c r="I42" s="20" t="s">
        <v>361</v>
      </c>
      <c r="J42" s="20" t="s">
        <v>362</v>
      </c>
      <c r="K42" s="20" t="s">
        <v>363</v>
      </c>
      <c r="L42" s="22" t="s">
        <v>7</v>
      </c>
    </row>
    <row r="43" customFormat="false" ht="34.5" hidden="false" customHeight="true" outlineLevel="0" collapsed="false">
      <c r="A43" s="20" t="s">
        <v>364</v>
      </c>
      <c r="B43" s="28" t="s">
        <v>10</v>
      </c>
      <c r="C43" s="20" t="s">
        <v>365</v>
      </c>
      <c r="D43" s="20" t="s">
        <v>366</v>
      </c>
      <c r="E43" s="20" t="s">
        <v>367</v>
      </c>
      <c r="F43" s="20" t="s">
        <v>34</v>
      </c>
      <c r="G43" s="20" t="s">
        <v>368</v>
      </c>
      <c r="H43" s="20" t="s">
        <v>369</v>
      </c>
      <c r="I43" s="20" t="s">
        <v>370</v>
      </c>
      <c r="J43" s="20" t="s">
        <v>371</v>
      </c>
      <c r="K43" s="20" t="s">
        <v>372</v>
      </c>
      <c r="L43" s="22" t="s">
        <v>7</v>
      </c>
    </row>
    <row r="44" customFormat="false" ht="23.25" hidden="false" customHeight="true" outlineLevel="0" collapsed="false">
      <c r="A44" s="20" t="s">
        <v>373</v>
      </c>
      <c r="B44" s="28" t="s">
        <v>10</v>
      </c>
      <c r="C44" s="20" t="s">
        <v>374</v>
      </c>
      <c r="D44" s="20" t="s">
        <v>103</v>
      </c>
      <c r="E44" s="20" t="s">
        <v>375</v>
      </c>
      <c r="F44" s="20" t="s">
        <v>161</v>
      </c>
      <c r="G44" s="20" t="s">
        <v>376</v>
      </c>
      <c r="H44" s="20" t="s">
        <v>377</v>
      </c>
      <c r="I44" s="20" t="s">
        <v>378</v>
      </c>
      <c r="J44" s="20" t="s">
        <v>379</v>
      </c>
      <c r="K44" s="20" t="s">
        <v>380</v>
      </c>
      <c r="L44" s="22" t="s">
        <v>7</v>
      </c>
    </row>
    <row r="45" customFormat="false" ht="34.5" hidden="false" customHeight="true" outlineLevel="0" collapsed="false">
      <c r="A45" s="20" t="s">
        <v>381</v>
      </c>
      <c r="B45" s="28" t="s">
        <v>10</v>
      </c>
      <c r="C45" s="20" t="s">
        <v>31</v>
      </c>
      <c r="D45" s="20" t="s">
        <v>382</v>
      </c>
      <c r="E45" s="20" t="s">
        <v>383</v>
      </c>
      <c r="F45" s="20" t="s">
        <v>161</v>
      </c>
      <c r="G45" s="20" t="s">
        <v>384</v>
      </c>
      <c r="H45" s="20" t="s">
        <v>385</v>
      </c>
      <c r="I45" s="20" t="s">
        <v>386</v>
      </c>
      <c r="J45" s="20" t="s">
        <v>387</v>
      </c>
      <c r="K45" s="20" t="s">
        <v>388</v>
      </c>
      <c r="L45" s="22" t="s">
        <v>7</v>
      </c>
    </row>
    <row r="46" customFormat="false" ht="45.75" hidden="false" customHeight="true" outlineLevel="0" collapsed="false">
      <c r="A46" s="20" t="s">
        <v>389</v>
      </c>
      <c r="B46" s="28" t="s">
        <v>10</v>
      </c>
      <c r="C46" s="20" t="s">
        <v>206</v>
      </c>
      <c r="D46" s="20" t="s">
        <v>390</v>
      </c>
      <c r="E46" s="20" t="s">
        <v>391</v>
      </c>
      <c r="F46" s="20" t="s">
        <v>161</v>
      </c>
      <c r="G46" s="20" t="s">
        <v>392</v>
      </c>
      <c r="H46" s="20" t="s">
        <v>393</v>
      </c>
      <c r="I46" s="20" t="s">
        <v>394</v>
      </c>
      <c r="J46" s="20" t="s">
        <v>395</v>
      </c>
      <c r="K46" s="20" t="s">
        <v>396</v>
      </c>
      <c r="L46" s="22" t="s">
        <v>7</v>
      </c>
    </row>
    <row r="47" customFormat="false" ht="23.25" hidden="false" customHeight="true" outlineLevel="0" collapsed="false">
      <c r="A47" s="20" t="s">
        <v>397</v>
      </c>
      <c r="B47" s="28" t="s">
        <v>10</v>
      </c>
      <c r="C47" s="20" t="s">
        <v>31</v>
      </c>
      <c r="D47" s="20" t="s">
        <v>334</v>
      </c>
      <c r="E47" s="20" t="s">
        <v>398</v>
      </c>
      <c r="F47" s="20" t="s">
        <v>161</v>
      </c>
      <c r="G47" s="20" t="s">
        <v>399</v>
      </c>
      <c r="H47" s="20" t="s">
        <v>400</v>
      </c>
      <c r="I47" s="20" t="s">
        <v>401</v>
      </c>
      <c r="J47" s="20" t="s">
        <v>402</v>
      </c>
      <c r="K47" s="20" t="s">
        <v>403</v>
      </c>
      <c r="L47" s="22" t="s">
        <v>7</v>
      </c>
    </row>
    <row r="48" customFormat="false" ht="45.75" hidden="false" customHeight="true" outlineLevel="0" collapsed="false">
      <c r="A48" s="20" t="s">
        <v>404</v>
      </c>
      <c r="B48" s="28" t="s">
        <v>10</v>
      </c>
      <c r="C48" s="20" t="s">
        <v>119</v>
      </c>
      <c r="D48" s="20" t="s">
        <v>334</v>
      </c>
      <c r="E48" s="20" t="s">
        <v>405</v>
      </c>
      <c r="F48" s="20" t="s">
        <v>161</v>
      </c>
      <c r="G48" s="20" t="s">
        <v>406</v>
      </c>
      <c r="H48" s="20" t="s">
        <v>407</v>
      </c>
      <c r="I48" s="20" t="s">
        <v>408</v>
      </c>
      <c r="J48" s="20" t="s">
        <v>409</v>
      </c>
      <c r="K48" s="20" t="s">
        <v>410</v>
      </c>
      <c r="L48" s="22" t="s">
        <v>7</v>
      </c>
    </row>
    <row r="49" customFormat="false" ht="23.25" hidden="false" customHeight="true" outlineLevel="0" collapsed="false">
      <c r="A49" s="20" t="s">
        <v>411</v>
      </c>
      <c r="B49" s="28" t="s">
        <v>10</v>
      </c>
      <c r="C49" s="20" t="s">
        <v>374</v>
      </c>
      <c r="D49" s="20" t="s">
        <v>334</v>
      </c>
      <c r="E49" s="20" t="s">
        <v>412</v>
      </c>
      <c r="F49" s="20" t="s">
        <v>161</v>
      </c>
      <c r="G49" s="20" t="s">
        <v>413</v>
      </c>
      <c r="H49" s="20" t="s">
        <v>414</v>
      </c>
      <c r="I49" s="20" t="s">
        <v>415</v>
      </c>
      <c r="J49" s="20" t="s">
        <v>416</v>
      </c>
      <c r="K49" s="20" t="s">
        <v>417</v>
      </c>
      <c r="L49" s="22" t="s">
        <v>7</v>
      </c>
    </row>
    <row r="50" customFormat="false" ht="23.25" hidden="false" customHeight="true" outlineLevel="0" collapsed="false">
      <c r="A50" s="20" t="s">
        <v>418</v>
      </c>
      <c r="B50" s="28" t="s">
        <v>10</v>
      </c>
      <c r="C50" s="20" t="s">
        <v>119</v>
      </c>
      <c r="D50" s="20" t="s">
        <v>77</v>
      </c>
      <c r="E50" s="20" t="s">
        <v>419</v>
      </c>
      <c r="F50" s="20" t="s">
        <v>161</v>
      </c>
      <c r="G50" s="20" t="s">
        <v>420</v>
      </c>
      <c r="H50" s="20" t="s">
        <v>421</v>
      </c>
      <c r="I50" s="20" t="s">
        <v>422</v>
      </c>
      <c r="J50" s="20" t="s">
        <v>423</v>
      </c>
      <c r="K50" s="20" t="s">
        <v>424</v>
      </c>
      <c r="L50" s="22" t="s">
        <v>7</v>
      </c>
    </row>
    <row r="51" customFormat="false" ht="23.25" hidden="false" customHeight="true" outlineLevel="0" collapsed="false">
      <c r="A51" s="20" t="s">
        <v>425</v>
      </c>
      <c r="B51" s="28" t="s">
        <v>10</v>
      </c>
      <c r="C51" s="20" t="s">
        <v>374</v>
      </c>
      <c r="D51" s="20" t="s">
        <v>334</v>
      </c>
      <c r="E51" s="20" t="s">
        <v>426</v>
      </c>
      <c r="F51" s="20" t="s">
        <v>161</v>
      </c>
      <c r="G51" s="20" t="s">
        <v>427</v>
      </c>
      <c r="H51" s="20" t="s">
        <v>428</v>
      </c>
      <c r="I51" s="20" t="s">
        <v>429</v>
      </c>
      <c r="J51" s="20" t="s">
        <v>430</v>
      </c>
      <c r="K51" s="20" t="s">
        <v>431</v>
      </c>
      <c r="L51" s="22" t="s">
        <v>7</v>
      </c>
    </row>
    <row r="52" customFormat="false" ht="23.25" hidden="false" customHeight="true" outlineLevel="0" collapsed="false">
      <c r="A52" s="20" t="s">
        <v>432</v>
      </c>
      <c r="B52" s="28" t="s">
        <v>10</v>
      </c>
      <c r="C52" s="20" t="s">
        <v>68</v>
      </c>
      <c r="D52" s="20" t="s">
        <v>87</v>
      </c>
      <c r="E52" s="20" t="s">
        <v>433</v>
      </c>
      <c r="F52" s="20" t="s">
        <v>79</v>
      </c>
      <c r="G52" s="20" t="s">
        <v>434</v>
      </c>
      <c r="H52" s="20" t="s">
        <v>435</v>
      </c>
      <c r="I52" s="20" t="s">
        <v>436</v>
      </c>
      <c r="J52" s="20" t="s">
        <v>437</v>
      </c>
      <c r="K52" s="20" t="s">
        <v>438</v>
      </c>
      <c r="L52" s="27" t="s">
        <v>13</v>
      </c>
    </row>
    <row r="53" customFormat="false" ht="23.25" hidden="false" customHeight="true" outlineLevel="0" collapsed="false">
      <c r="A53" s="20" t="s">
        <v>439</v>
      </c>
      <c r="B53" s="28" t="s">
        <v>10</v>
      </c>
      <c r="C53" s="20" t="s">
        <v>119</v>
      </c>
      <c r="D53" s="20" t="s">
        <v>440</v>
      </c>
      <c r="E53" s="20" t="s">
        <v>441</v>
      </c>
      <c r="F53" s="20" t="s">
        <v>161</v>
      </c>
      <c r="G53" s="20" t="s">
        <v>442</v>
      </c>
      <c r="H53" s="20" t="s">
        <v>443</v>
      </c>
      <c r="I53" s="20" t="s">
        <v>444</v>
      </c>
      <c r="J53" s="20" t="s">
        <v>445</v>
      </c>
      <c r="K53" s="20" t="s">
        <v>446</v>
      </c>
      <c r="L53" s="22" t="s">
        <v>7</v>
      </c>
    </row>
  </sheetData>
  <autoFilter ref="A1:L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70"/>
  </cols>
  <sheetData>
    <row r="1" customFormat="false" ht="15" hidden="false" customHeight="true" outlineLevel="0" collapsed="false">
      <c r="A1" s="29" t="s">
        <v>447</v>
      </c>
      <c r="B1" s="29" t="s">
        <v>448</v>
      </c>
      <c r="C1" s="29" t="s">
        <v>24</v>
      </c>
    </row>
    <row r="2" customFormat="false" ht="23.25" hidden="false" customHeight="true" outlineLevel="0" collapsed="false">
      <c r="A2" s="20" t="s">
        <v>449</v>
      </c>
      <c r="B2" s="20" t="s">
        <v>450</v>
      </c>
      <c r="C2" s="20" t="s">
        <v>451</v>
      </c>
    </row>
    <row r="3" customFormat="false" ht="23.25" hidden="false" customHeight="true" outlineLevel="0" collapsed="false">
      <c r="A3" s="20" t="s">
        <v>452</v>
      </c>
      <c r="B3" s="20" t="s">
        <v>450</v>
      </c>
      <c r="C3" s="20" t="s">
        <v>453</v>
      </c>
    </row>
    <row r="4" customFormat="false" ht="23.25" hidden="false" customHeight="true" outlineLevel="0" collapsed="false">
      <c r="A4" s="20" t="s">
        <v>454</v>
      </c>
      <c r="B4" s="20" t="s">
        <v>455</v>
      </c>
      <c r="C4" s="20" t="s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2026-06-23T04:58:17Z</dcterms:created>
  <dc:creator>openpyxl</dc:creator>
  <dc:description/>
  <dc:language>en-US</dc:language>
  <cp:lastModifiedBy/>
  <dcterms:modified xsi:type="dcterms:W3CDTF">2026-06-23T18:11:41Z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